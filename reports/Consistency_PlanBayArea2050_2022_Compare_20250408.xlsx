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sponlinenam.sharepoint.com/sites/US-AlaCCModelUpdate/Shared Documents/Task 09 Model Documentation/Model Consistency Report/"/>
    </mc:Choice>
  </mc:AlternateContent>
  <xr:revisionPtr revIDLastSave="41" documentId="13_ncr:1_{1613F9B1-661D-4387-B3D5-8511FC49BDA2}" xr6:coauthVersionLast="47" xr6:coauthVersionMax="47" xr10:uidLastSave="{02BD494D-BACC-4169-95AB-7330FB4646C4}"/>
  <bookViews>
    <workbookView xWindow="-120" yWindow="-120" windowWidth="29040" windowHeight="15720" tabRatio="942" firstSheet="7" activeTab="7" xr2:uid="{8B19C7F2-315D-D64D-909E-E983722A25BF}"/>
  </bookViews>
  <sheets>
    <sheet name="B.Base Year Demographics" sheetId="1" r:id="rId1"/>
    <sheet name="C.Forecast Year Demographics" sheetId="9" r:id="rId2"/>
    <sheet name="D.Forecast Pricing Assumptions" sheetId="2" r:id="rId3"/>
    <sheet name="F. Forecast Auto Ownership" sheetId="7" r:id="rId4"/>
    <sheet name="G.Forecast Activity Pattern" sheetId="10" r:id="rId5"/>
    <sheet name="H.Forecast Activity Location" sheetId="11" r:id="rId6"/>
    <sheet name="I.Forecast Mode Choice" sheetId="12" r:id="rId7"/>
    <sheet name="J.Forecast Assignment" sheetId="13" r:id="rId8"/>
  </sheets>
  <definedNames>
    <definedName name="dollars_2000_to_2010">'D.Forecast Pricing Assumptions'!$J$1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13" l="1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9" i="13"/>
  <c r="K162" i="13"/>
  <c r="J49" i="13"/>
  <c r="I49" i="13"/>
  <c r="H49" i="13"/>
  <c r="G49" i="13"/>
  <c r="F49" i="13"/>
  <c r="E49" i="13"/>
  <c r="J48" i="13"/>
  <c r="I48" i="13"/>
  <c r="H48" i="13"/>
  <c r="G48" i="13"/>
  <c r="F48" i="13"/>
  <c r="E48" i="13"/>
  <c r="J47" i="13"/>
  <c r="I47" i="13"/>
  <c r="H47" i="13"/>
  <c r="G47" i="13"/>
  <c r="F47" i="13"/>
  <c r="E47" i="13"/>
  <c r="J46" i="13"/>
  <c r="I46" i="13"/>
  <c r="H46" i="13"/>
  <c r="G46" i="13"/>
  <c r="F46" i="13"/>
  <c r="E46" i="13"/>
  <c r="J45" i="13"/>
  <c r="I45" i="13"/>
  <c r="H45" i="13"/>
  <c r="G45" i="13"/>
  <c r="F45" i="13"/>
  <c r="E45" i="13"/>
  <c r="J44" i="13"/>
  <c r="I44" i="13"/>
  <c r="H44" i="13"/>
  <c r="G44" i="13"/>
  <c r="F44" i="13"/>
  <c r="E44" i="13"/>
  <c r="D49" i="13"/>
  <c r="D48" i="13"/>
  <c r="D47" i="13"/>
  <c r="D46" i="13"/>
  <c r="D45" i="13"/>
  <c r="D44" i="13"/>
  <c r="L43" i="13"/>
  <c r="L42" i="13"/>
  <c r="L41" i="13"/>
  <c r="L40" i="13"/>
  <c r="L39" i="13"/>
  <c r="L38" i="13"/>
  <c r="L37" i="13"/>
  <c r="L49" i="13" s="1"/>
  <c r="L36" i="13"/>
  <c r="L48" i="13" s="1"/>
  <c r="L35" i="13"/>
  <c r="L47" i="13" s="1"/>
  <c r="L34" i="13"/>
  <c r="L46" i="13" s="1"/>
  <c r="L33" i="13"/>
  <c r="L45" i="13" s="1"/>
  <c r="L32" i="13"/>
  <c r="L44" i="13" s="1"/>
  <c r="L22" i="13"/>
  <c r="L23" i="13"/>
  <c r="L24" i="13"/>
  <c r="L25" i="13"/>
  <c r="L26" i="13"/>
  <c r="L21" i="13"/>
  <c r="L10" i="13"/>
  <c r="L11" i="13"/>
  <c r="L12" i="13"/>
  <c r="L13" i="13"/>
  <c r="L14" i="13"/>
  <c r="L15" i="13"/>
  <c r="L16" i="13"/>
  <c r="L17" i="13"/>
  <c r="L18" i="13"/>
  <c r="L19" i="13"/>
  <c r="L20" i="13"/>
  <c r="T49" i="13"/>
  <c r="S49" i="13"/>
  <c r="R49" i="13"/>
  <c r="Q49" i="13"/>
  <c r="P49" i="13"/>
  <c r="O49" i="13"/>
  <c r="T48" i="13"/>
  <c r="S48" i="13"/>
  <c r="R48" i="13"/>
  <c r="Q48" i="13"/>
  <c r="P48" i="13"/>
  <c r="O48" i="13"/>
  <c r="T47" i="13"/>
  <c r="S47" i="13"/>
  <c r="R47" i="13"/>
  <c r="Q47" i="13"/>
  <c r="P47" i="13"/>
  <c r="O47" i="13"/>
  <c r="T46" i="13"/>
  <c r="S46" i="13"/>
  <c r="R46" i="13"/>
  <c r="Q46" i="13"/>
  <c r="P46" i="13"/>
  <c r="O46" i="13"/>
  <c r="T45" i="13"/>
  <c r="S45" i="13"/>
  <c r="R45" i="13"/>
  <c r="Q45" i="13"/>
  <c r="P45" i="13"/>
  <c r="O45" i="13"/>
  <c r="T44" i="13"/>
  <c r="S44" i="13"/>
  <c r="R44" i="13"/>
  <c r="Q44" i="13"/>
  <c r="P44" i="13"/>
  <c r="O44" i="13"/>
  <c r="T26" i="13"/>
  <c r="S26" i="13"/>
  <c r="R26" i="13"/>
  <c r="Q26" i="13"/>
  <c r="P26" i="13"/>
  <c r="O26" i="13"/>
  <c r="T25" i="13"/>
  <c r="S25" i="13"/>
  <c r="R25" i="13"/>
  <c r="Q25" i="13"/>
  <c r="P25" i="13"/>
  <c r="O25" i="13"/>
  <c r="T24" i="13"/>
  <c r="S24" i="13"/>
  <c r="R24" i="13"/>
  <c r="Q24" i="13"/>
  <c r="P24" i="13"/>
  <c r="O24" i="13"/>
  <c r="T23" i="13"/>
  <c r="S23" i="13"/>
  <c r="R23" i="13"/>
  <c r="Q23" i="13"/>
  <c r="P23" i="13"/>
  <c r="O23" i="13"/>
  <c r="T22" i="13"/>
  <c r="S22" i="13"/>
  <c r="R22" i="13"/>
  <c r="Q22" i="13"/>
  <c r="P22" i="13"/>
  <c r="O22" i="13"/>
  <c r="T21" i="13"/>
  <c r="S21" i="13"/>
  <c r="R21" i="13"/>
  <c r="Q21" i="13"/>
  <c r="P21" i="13"/>
  <c r="O21" i="13"/>
  <c r="D72" i="13"/>
  <c r="O14" i="13"/>
  <c r="O13" i="13"/>
  <c r="O12" i="13"/>
  <c r="O11" i="13"/>
  <c r="O10" i="13"/>
  <c r="G9" i="13"/>
  <c r="O9" i="13" s="1"/>
  <c r="H150" i="13"/>
  <c r="G150" i="13"/>
  <c r="F150" i="13"/>
  <c r="E150" i="13"/>
  <c r="D150" i="13"/>
  <c r="E170" i="13"/>
  <c r="F170" i="13"/>
  <c r="G170" i="13"/>
  <c r="H170" i="13"/>
  <c r="D170" i="13"/>
  <c r="I168" i="13"/>
  <c r="I170" i="13" s="1"/>
  <c r="I101" i="13"/>
  <c r="I102" i="13"/>
  <c r="I103" i="13"/>
  <c r="I104" i="13"/>
  <c r="I105" i="13"/>
  <c r="I106" i="13"/>
  <c r="I107" i="13"/>
  <c r="I108" i="13"/>
  <c r="I109" i="13"/>
  <c r="I100" i="13"/>
  <c r="J38" i="13"/>
  <c r="J39" i="13"/>
  <c r="J40" i="13"/>
  <c r="J41" i="13"/>
  <c r="J42" i="13"/>
  <c r="J43" i="13"/>
  <c r="J33" i="13"/>
  <c r="J34" i="13"/>
  <c r="J35" i="13"/>
  <c r="U47" i="13" s="1"/>
  <c r="J36" i="13"/>
  <c r="J37" i="13"/>
  <c r="J32" i="13"/>
  <c r="AK169" i="13"/>
  <c r="AJ169" i="13"/>
  <c r="AI169" i="13"/>
  <c r="AH169" i="13"/>
  <c r="AG169" i="13"/>
  <c r="AL168" i="13"/>
  <c r="AK167" i="13"/>
  <c r="AJ167" i="13"/>
  <c r="AI167" i="13"/>
  <c r="AH167" i="13"/>
  <c r="AG167" i="13"/>
  <c r="AK166" i="13"/>
  <c r="AJ166" i="13"/>
  <c r="AI166" i="13"/>
  <c r="AH166" i="13"/>
  <c r="AG166" i="13"/>
  <c r="AK162" i="13"/>
  <c r="AJ162" i="13"/>
  <c r="AI162" i="13"/>
  <c r="AH162" i="13"/>
  <c r="AG162" i="13"/>
  <c r="U46" i="13" l="1"/>
  <c r="U45" i="13"/>
  <c r="U44" i="13"/>
  <c r="U49" i="13"/>
  <c r="U48" i="13"/>
  <c r="AL166" i="13"/>
  <c r="AL162" i="13"/>
  <c r="AL167" i="13"/>
  <c r="AL169" i="13"/>
  <c r="D31" i="10" l="1"/>
  <c r="E31" i="10"/>
  <c r="F31" i="10"/>
  <c r="G31" i="10"/>
  <c r="H31" i="10"/>
  <c r="I31" i="10"/>
  <c r="J31" i="10"/>
  <c r="K31" i="10"/>
  <c r="L31" i="10"/>
  <c r="H100" i="12"/>
  <c r="L100" i="12" s="1"/>
  <c r="H211" i="12"/>
  <c r="L211" i="12" s="1"/>
  <c r="H210" i="12"/>
  <c r="L210" i="12" s="1"/>
  <c r="H209" i="12"/>
  <c r="L209" i="12" s="1"/>
  <c r="H208" i="12"/>
  <c r="L208" i="12" s="1"/>
  <c r="H207" i="12"/>
  <c r="L207" i="12" s="1"/>
  <c r="H206" i="12"/>
  <c r="L206" i="12" s="1"/>
  <c r="H205" i="12"/>
  <c r="L205" i="12" s="1"/>
  <c r="H204" i="12"/>
  <c r="L204" i="12" s="1"/>
  <c r="H203" i="12"/>
  <c r="L203" i="12" s="1"/>
  <c r="H202" i="12"/>
  <c r="L202" i="12" s="1"/>
  <c r="H201" i="12"/>
  <c r="L201" i="12" s="1"/>
  <c r="H199" i="12"/>
  <c r="L199" i="12" s="1"/>
  <c r="H198" i="12"/>
  <c r="L198" i="12" s="1"/>
  <c r="H197" i="12"/>
  <c r="L197" i="12" s="1"/>
  <c r="H196" i="12"/>
  <c r="L196" i="12" s="1"/>
  <c r="H195" i="12"/>
  <c r="L195" i="12" s="1"/>
  <c r="H194" i="12"/>
  <c r="L194" i="12" s="1"/>
  <c r="H193" i="12"/>
  <c r="L193" i="12" s="1"/>
  <c r="H192" i="12"/>
  <c r="L192" i="12" s="1"/>
  <c r="H191" i="12"/>
  <c r="L191" i="12" s="1"/>
  <c r="H190" i="12"/>
  <c r="L190" i="12" s="1"/>
  <c r="H189" i="12"/>
  <c r="L189" i="12" s="1"/>
  <c r="H188" i="12"/>
  <c r="L188" i="12" s="1"/>
  <c r="H187" i="12"/>
  <c r="L187" i="12" s="1"/>
  <c r="H186" i="12"/>
  <c r="L186" i="12" s="1"/>
  <c r="H185" i="12"/>
  <c r="L185" i="12" s="1"/>
  <c r="H184" i="12"/>
  <c r="L184" i="12" s="1"/>
  <c r="H183" i="12"/>
  <c r="L183" i="12" s="1"/>
  <c r="H182" i="12"/>
  <c r="L182" i="12" s="1"/>
  <c r="H181" i="12"/>
  <c r="L181" i="12" s="1"/>
  <c r="H180" i="12"/>
  <c r="L180" i="12" s="1"/>
  <c r="H179" i="12"/>
  <c r="L179" i="12" s="1"/>
  <c r="H178" i="12"/>
  <c r="L178" i="12" s="1"/>
  <c r="H177" i="12"/>
  <c r="L177" i="12" s="1"/>
  <c r="H176" i="12"/>
  <c r="L176" i="12" s="1"/>
  <c r="H175" i="12"/>
  <c r="L175" i="12" s="1"/>
  <c r="H174" i="12"/>
  <c r="L174" i="12" s="1"/>
  <c r="H173" i="12"/>
  <c r="L173" i="12" s="1"/>
  <c r="H172" i="12"/>
  <c r="L172" i="12" s="1"/>
  <c r="H171" i="12"/>
  <c r="L171" i="12" s="1"/>
  <c r="H170" i="12"/>
  <c r="L170" i="12" s="1"/>
  <c r="H169" i="12"/>
  <c r="L169" i="12" s="1"/>
  <c r="H168" i="12"/>
  <c r="L168" i="12" s="1"/>
  <c r="H167" i="12"/>
  <c r="L167" i="12" s="1"/>
  <c r="H166" i="12"/>
  <c r="L166" i="12" s="1"/>
  <c r="H165" i="12"/>
  <c r="L165" i="12" s="1"/>
  <c r="H164" i="12"/>
  <c r="L164" i="12" s="1"/>
  <c r="H163" i="12"/>
  <c r="L163" i="12" s="1"/>
  <c r="H162" i="12"/>
  <c r="L162" i="12" s="1"/>
  <c r="H161" i="12"/>
  <c r="L161" i="12" s="1"/>
  <c r="H160" i="12"/>
  <c r="L160" i="12" s="1"/>
  <c r="H159" i="12"/>
  <c r="L159" i="12" s="1"/>
  <c r="H158" i="12"/>
  <c r="L158" i="12" s="1"/>
  <c r="H157" i="12"/>
  <c r="L157" i="12" s="1"/>
  <c r="H156" i="12"/>
  <c r="L156" i="12" s="1"/>
  <c r="H155" i="12"/>
  <c r="L155" i="12" s="1"/>
  <c r="H154" i="12"/>
  <c r="L154" i="12" s="1"/>
  <c r="H153" i="12"/>
  <c r="L153" i="12" s="1"/>
  <c r="H152" i="12"/>
  <c r="L152" i="12" s="1"/>
  <c r="H151" i="12"/>
  <c r="L151" i="12" s="1"/>
  <c r="H150" i="12"/>
  <c r="L150" i="12" s="1"/>
  <c r="H149" i="12"/>
  <c r="L149" i="12" s="1"/>
  <c r="H148" i="12"/>
  <c r="L148" i="12" s="1"/>
  <c r="H147" i="12"/>
  <c r="L147" i="12" s="1"/>
  <c r="H146" i="12"/>
  <c r="L146" i="12" s="1"/>
  <c r="H145" i="12"/>
  <c r="L145" i="12" s="1"/>
  <c r="H144" i="12"/>
  <c r="L144" i="12" s="1"/>
  <c r="H143" i="12"/>
  <c r="L143" i="12" s="1"/>
  <c r="H142" i="12"/>
  <c r="L142" i="12" s="1"/>
  <c r="H141" i="12"/>
  <c r="L141" i="12" s="1"/>
  <c r="H140" i="12"/>
  <c r="L140" i="12" s="1"/>
  <c r="H139" i="12"/>
  <c r="L139" i="12" s="1"/>
  <c r="H138" i="12"/>
  <c r="L138" i="12" s="1"/>
  <c r="H137" i="12"/>
  <c r="L137" i="12" s="1"/>
  <c r="H136" i="12"/>
  <c r="L136" i="12" s="1"/>
  <c r="H135" i="12"/>
  <c r="L135" i="12" s="1"/>
  <c r="H134" i="12"/>
  <c r="L134" i="12" s="1"/>
  <c r="H133" i="12"/>
  <c r="L133" i="12" s="1"/>
  <c r="H132" i="12"/>
  <c r="L132" i="12" s="1"/>
  <c r="H131" i="12"/>
  <c r="L131" i="12" s="1"/>
  <c r="H130" i="12"/>
  <c r="L130" i="12" s="1"/>
  <c r="H129" i="12"/>
  <c r="L129" i="12" s="1"/>
  <c r="H128" i="12"/>
  <c r="L128" i="12" s="1"/>
  <c r="H127" i="12"/>
  <c r="L127" i="12" s="1"/>
  <c r="H126" i="12"/>
  <c r="L126" i="12" s="1"/>
  <c r="H125" i="12"/>
  <c r="L125" i="12" s="1"/>
  <c r="H124" i="12"/>
  <c r="L124" i="12" s="1"/>
  <c r="H123" i="12"/>
  <c r="L123" i="12" s="1"/>
  <c r="H122" i="12"/>
  <c r="L122" i="12" s="1"/>
  <c r="H121" i="12"/>
  <c r="L121" i="12" s="1"/>
  <c r="H120" i="12"/>
  <c r="L120" i="12" s="1"/>
  <c r="H119" i="12"/>
  <c r="L119" i="12" s="1"/>
  <c r="H118" i="12"/>
  <c r="L118" i="12" s="1"/>
  <c r="H117" i="12"/>
  <c r="L117" i="12" s="1"/>
  <c r="H116" i="12"/>
  <c r="L116" i="12" s="1"/>
  <c r="H115" i="12"/>
  <c r="L115" i="12" s="1"/>
  <c r="H114" i="12"/>
  <c r="L114" i="12" s="1"/>
  <c r="H113" i="12"/>
  <c r="L113" i="12" s="1"/>
  <c r="H112" i="12"/>
  <c r="L112" i="12" s="1"/>
  <c r="H111" i="12"/>
  <c r="L111" i="12" s="1"/>
  <c r="H110" i="12"/>
  <c r="L110" i="12" s="1"/>
  <c r="L160" i="10"/>
  <c r="K160" i="10"/>
  <c r="J160" i="10"/>
  <c r="I160" i="10"/>
  <c r="H160" i="10"/>
  <c r="G160" i="10"/>
  <c r="F160" i="10"/>
  <c r="E160" i="10"/>
  <c r="D160" i="10"/>
  <c r="L159" i="10"/>
  <c r="K159" i="10"/>
  <c r="J159" i="10"/>
  <c r="I159" i="10"/>
  <c r="H159" i="10"/>
  <c r="G159" i="10"/>
  <c r="F159" i="10"/>
  <c r="E159" i="10"/>
  <c r="D159" i="10"/>
  <c r="L158" i="10"/>
  <c r="K158" i="10"/>
  <c r="J158" i="10"/>
  <c r="I158" i="10"/>
  <c r="H158" i="10"/>
  <c r="G158" i="10"/>
  <c r="F158" i="10"/>
  <c r="E158" i="10"/>
  <c r="D158" i="10"/>
  <c r="L157" i="10"/>
  <c r="K157" i="10"/>
  <c r="J157" i="10"/>
  <c r="I157" i="10"/>
  <c r="H157" i="10"/>
  <c r="G157" i="10"/>
  <c r="F157" i="10"/>
  <c r="E157" i="10"/>
  <c r="D157" i="10"/>
  <c r="L156" i="10"/>
  <c r="K156" i="10"/>
  <c r="J156" i="10"/>
  <c r="I156" i="10"/>
  <c r="H156" i="10"/>
  <c r="G156" i="10"/>
  <c r="F156" i="10"/>
  <c r="E156" i="10"/>
  <c r="D156" i="10"/>
  <c r="L155" i="10"/>
  <c r="K155" i="10"/>
  <c r="J155" i="10"/>
  <c r="I155" i="10"/>
  <c r="H155" i="10"/>
  <c r="G155" i="10"/>
  <c r="F155" i="10"/>
  <c r="E155" i="10"/>
  <c r="D155" i="10"/>
  <c r="L154" i="10"/>
  <c r="K154" i="10"/>
  <c r="J154" i="10"/>
  <c r="I154" i="10"/>
  <c r="H154" i="10"/>
  <c r="G154" i="10"/>
  <c r="F154" i="10"/>
  <c r="E154" i="10"/>
  <c r="D154" i="10"/>
  <c r="L153" i="10"/>
  <c r="K153" i="10"/>
  <c r="J153" i="10"/>
  <c r="I153" i="10"/>
  <c r="H153" i="10"/>
  <c r="G153" i="10"/>
  <c r="F153" i="10"/>
  <c r="E153" i="10"/>
  <c r="D153" i="10"/>
  <c r="L152" i="10"/>
  <c r="K152" i="10"/>
  <c r="J152" i="10"/>
  <c r="I152" i="10"/>
  <c r="H152" i="10"/>
  <c r="G152" i="10"/>
  <c r="F152" i="10"/>
  <c r="E152" i="10"/>
  <c r="D152" i="10"/>
  <c r="L151" i="10"/>
  <c r="K151" i="10"/>
  <c r="J151" i="10"/>
  <c r="I151" i="10"/>
  <c r="H151" i="10"/>
  <c r="G151" i="10"/>
  <c r="F151" i="10"/>
  <c r="E151" i="10"/>
  <c r="D151" i="10"/>
  <c r="L150" i="10"/>
  <c r="K150" i="10"/>
  <c r="J150" i="10"/>
  <c r="I150" i="10"/>
  <c r="H150" i="10"/>
  <c r="G150" i="10"/>
  <c r="F150" i="10"/>
  <c r="E150" i="10"/>
  <c r="D150" i="10"/>
  <c r="L149" i="10"/>
  <c r="K149" i="10"/>
  <c r="J149" i="10"/>
  <c r="I149" i="10"/>
  <c r="H149" i="10"/>
  <c r="G149" i="10"/>
  <c r="F149" i="10"/>
  <c r="E149" i="10"/>
  <c r="D149" i="10"/>
  <c r="L148" i="10"/>
  <c r="K148" i="10"/>
  <c r="J148" i="10"/>
  <c r="I148" i="10"/>
  <c r="H148" i="10"/>
  <c r="G148" i="10"/>
  <c r="F148" i="10"/>
  <c r="E148" i="10"/>
  <c r="D148" i="10"/>
  <c r="L147" i="10"/>
  <c r="K147" i="10"/>
  <c r="J147" i="10"/>
  <c r="I147" i="10"/>
  <c r="H147" i="10"/>
  <c r="G147" i="10"/>
  <c r="F147" i="10"/>
  <c r="E147" i="10"/>
  <c r="D147" i="10"/>
  <c r="L146" i="10"/>
  <c r="K146" i="10"/>
  <c r="J146" i="10"/>
  <c r="I146" i="10"/>
  <c r="H146" i="10"/>
  <c r="G146" i="10"/>
  <c r="F146" i="10"/>
  <c r="E146" i="10"/>
  <c r="D146" i="10"/>
  <c r="L145" i="10"/>
  <c r="K145" i="10"/>
  <c r="J145" i="10"/>
  <c r="I145" i="10"/>
  <c r="H145" i="10"/>
  <c r="G145" i="10"/>
  <c r="F145" i="10"/>
  <c r="E145" i="10"/>
  <c r="D145" i="10"/>
  <c r="L144" i="10"/>
  <c r="K144" i="10"/>
  <c r="J144" i="10"/>
  <c r="I144" i="10"/>
  <c r="H144" i="10"/>
  <c r="G144" i="10"/>
  <c r="F144" i="10"/>
  <c r="E144" i="10"/>
  <c r="D144" i="10"/>
  <c r="L143" i="10"/>
  <c r="K143" i="10"/>
  <c r="J143" i="10"/>
  <c r="I143" i="10"/>
  <c r="H143" i="10"/>
  <c r="G143" i="10"/>
  <c r="F143" i="10"/>
  <c r="E143" i="10"/>
  <c r="D143" i="10"/>
  <c r="L142" i="10"/>
  <c r="K142" i="10"/>
  <c r="J142" i="10"/>
  <c r="I142" i="10"/>
  <c r="H142" i="10"/>
  <c r="G142" i="10"/>
  <c r="F142" i="10"/>
  <c r="E142" i="10"/>
  <c r="D142" i="10"/>
  <c r="L141" i="10"/>
  <c r="K141" i="10"/>
  <c r="J141" i="10"/>
  <c r="I141" i="10"/>
  <c r="H141" i="10"/>
  <c r="G141" i="10"/>
  <c r="F141" i="10"/>
  <c r="E141" i="10"/>
  <c r="D141" i="10"/>
  <c r="L140" i="10"/>
  <c r="K140" i="10"/>
  <c r="J140" i="10"/>
  <c r="I140" i="10"/>
  <c r="H140" i="10"/>
  <c r="G140" i="10"/>
  <c r="F140" i="10"/>
  <c r="E140" i="10"/>
  <c r="D140" i="10"/>
  <c r="L139" i="10"/>
  <c r="K139" i="10"/>
  <c r="J139" i="10"/>
  <c r="I139" i="10"/>
  <c r="H139" i="10"/>
  <c r="G139" i="10"/>
  <c r="F139" i="10"/>
  <c r="E139" i="10"/>
  <c r="D139" i="10"/>
  <c r="L138" i="10"/>
  <c r="K138" i="10"/>
  <c r="J138" i="10"/>
  <c r="I138" i="10"/>
  <c r="H138" i="10"/>
  <c r="G138" i="10"/>
  <c r="F138" i="10"/>
  <c r="E138" i="10"/>
  <c r="D138" i="10"/>
  <c r="L137" i="10"/>
  <c r="K137" i="10"/>
  <c r="J137" i="10"/>
  <c r="I137" i="10"/>
  <c r="H137" i="10"/>
  <c r="G137" i="10"/>
  <c r="F137" i="10"/>
  <c r="E137" i="10"/>
  <c r="D137" i="10"/>
  <c r="L136" i="10"/>
  <c r="K136" i="10"/>
  <c r="J136" i="10"/>
  <c r="I136" i="10"/>
  <c r="H136" i="10"/>
  <c r="G136" i="10"/>
  <c r="F136" i="10"/>
  <c r="E136" i="10"/>
  <c r="D136" i="10"/>
  <c r="L135" i="10"/>
  <c r="K135" i="10"/>
  <c r="J135" i="10"/>
  <c r="I135" i="10"/>
  <c r="H135" i="10"/>
  <c r="G135" i="10"/>
  <c r="F135" i="10"/>
  <c r="E135" i="10"/>
  <c r="D135" i="10"/>
  <c r="L134" i="10"/>
  <c r="K134" i="10"/>
  <c r="J134" i="10"/>
  <c r="I134" i="10"/>
  <c r="H134" i="10"/>
  <c r="G134" i="10"/>
  <c r="F134" i="10"/>
  <c r="E134" i="10"/>
  <c r="D134" i="10"/>
  <c r="L133" i="10"/>
  <c r="K133" i="10"/>
  <c r="J133" i="10"/>
  <c r="I133" i="10"/>
  <c r="H133" i="10"/>
  <c r="G133" i="10"/>
  <c r="F133" i="10"/>
  <c r="E133" i="10"/>
  <c r="D133" i="10"/>
  <c r="L132" i="10"/>
  <c r="K132" i="10"/>
  <c r="J132" i="10"/>
  <c r="I132" i="10"/>
  <c r="H132" i="10"/>
  <c r="G132" i="10"/>
  <c r="F132" i="10"/>
  <c r="E132" i="10"/>
  <c r="D132" i="10"/>
  <c r="L131" i="10"/>
  <c r="K131" i="10"/>
  <c r="J131" i="10"/>
  <c r="I131" i="10"/>
  <c r="H131" i="10"/>
  <c r="G131" i="10"/>
  <c r="F131" i="10"/>
  <c r="E131" i="10"/>
  <c r="D131" i="10"/>
  <c r="L130" i="10"/>
  <c r="K130" i="10"/>
  <c r="J130" i="10"/>
  <c r="I130" i="10"/>
  <c r="H130" i="10"/>
  <c r="G130" i="10"/>
  <c r="F130" i="10"/>
  <c r="E130" i="10"/>
  <c r="D130" i="10"/>
  <c r="L123" i="10"/>
  <c r="K123" i="10"/>
  <c r="J123" i="10"/>
  <c r="J125" i="10" s="1"/>
  <c r="I123" i="10"/>
  <c r="I125" i="10" s="1"/>
  <c r="H123" i="10"/>
  <c r="H125" i="10" s="1"/>
  <c r="G123" i="10"/>
  <c r="G125" i="10" s="1"/>
  <c r="F123" i="10"/>
  <c r="F125" i="10" s="1"/>
  <c r="E123" i="10"/>
  <c r="E125" i="10" s="1"/>
  <c r="D123" i="10"/>
  <c r="D125" i="10" s="1"/>
  <c r="K125" i="10" l="1"/>
  <c r="L125" i="10"/>
  <c r="M123" i="10"/>
  <c r="M125" i="10" l="1"/>
  <c r="L33" i="10"/>
  <c r="K33" i="10"/>
  <c r="J33" i="10"/>
  <c r="I33" i="10"/>
  <c r="H33" i="10"/>
  <c r="G33" i="10"/>
  <c r="F33" i="10"/>
  <c r="E33" i="10"/>
  <c r="H190" i="7"/>
  <c r="G190" i="7"/>
  <c r="F190" i="7"/>
  <c r="E190" i="7"/>
  <c r="D190" i="7"/>
  <c r="H189" i="7"/>
  <c r="G189" i="7"/>
  <c r="F189" i="7"/>
  <c r="E189" i="7"/>
  <c r="D189" i="7"/>
  <c r="H188" i="7"/>
  <c r="G188" i="7"/>
  <c r="F188" i="7"/>
  <c r="E188" i="7"/>
  <c r="D188" i="7"/>
  <c r="H187" i="7"/>
  <c r="G187" i="7"/>
  <c r="F187" i="7"/>
  <c r="E187" i="7"/>
  <c r="D187" i="7"/>
  <c r="H186" i="7"/>
  <c r="G186" i="7"/>
  <c r="F186" i="7"/>
  <c r="E186" i="7"/>
  <c r="D186" i="7"/>
  <c r="H185" i="7"/>
  <c r="G185" i="7"/>
  <c r="F185" i="7"/>
  <c r="E185" i="7"/>
  <c r="D185" i="7"/>
  <c r="H184" i="7"/>
  <c r="G184" i="7"/>
  <c r="F184" i="7"/>
  <c r="E184" i="7"/>
  <c r="D184" i="7"/>
  <c r="H183" i="7"/>
  <c r="G183" i="7"/>
  <c r="F183" i="7"/>
  <c r="E183" i="7"/>
  <c r="D183" i="7"/>
  <c r="H182" i="7"/>
  <c r="G182" i="7"/>
  <c r="F182" i="7"/>
  <c r="E182" i="7"/>
  <c r="D182" i="7"/>
  <c r="H181" i="7"/>
  <c r="G181" i="7"/>
  <c r="F181" i="7"/>
  <c r="E181" i="7"/>
  <c r="D181" i="7"/>
  <c r="H180" i="7"/>
  <c r="G180" i="7"/>
  <c r="F180" i="7"/>
  <c r="E180" i="7"/>
  <c r="D180" i="7"/>
  <c r="H179" i="7"/>
  <c r="G179" i="7"/>
  <c r="F179" i="7"/>
  <c r="E179" i="7"/>
  <c r="D179" i="7"/>
  <c r="H178" i="7"/>
  <c r="G178" i="7"/>
  <c r="F178" i="7"/>
  <c r="E178" i="7"/>
  <c r="D178" i="7"/>
  <c r="H177" i="7"/>
  <c r="G177" i="7"/>
  <c r="F177" i="7"/>
  <c r="E177" i="7"/>
  <c r="D177" i="7"/>
  <c r="H176" i="7"/>
  <c r="G176" i="7"/>
  <c r="F176" i="7"/>
  <c r="E176" i="7"/>
  <c r="D176" i="7"/>
  <c r="H175" i="7"/>
  <c r="G175" i="7"/>
  <c r="F175" i="7"/>
  <c r="E175" i="7"/>
  <c r="D175" i="7"/>
  <c r="H174" i="7"/>
  <c r="G174" i="7"/>
  <c r="F174" i="7"/>
  <c r="E174" i="7"/>
  <c r="D174" i="7"/>
  <c r="H173" i="7"/>
  <c r="G173" i="7"/>
  <c r="F173" i="7"/>
  <c r="E173" i="7"/>
  <c r="D173" i="7"/>
  <c r="H172" i="7"/>
  <c r="G172" i="7"/>
  <c r="F172" i="7"/>
  <c r="E172" i="7"/>
  <c r="D172" i="7"/>
  <c r="H171" i="7"/>
  <c r="G171" i="7"/>
  <c r="F171" i="7"/>
  <c r="E171" i="7"/>
  <c r="D171" i="7"/>
  <c r="H170" i="7"/>
  <c r="G170" i="7"/>
  <c r="F170" i="7"/>
  <c r="E170" i="7"/>
  <c r="D170" i="7"/>
  <c r="H169" i="7"/>
  <c r="G169" i="7"/>
  <c r="F169" i="7"/>
  <c r="E169" i="7"/>
  <c r="D169" i="7"/>
  <c r="H168" i="7"/>
  <c r="G168" i="7"/>
  <c r="F168" i="7"/>
  <c r="E168" i="7"/>
  <c r="D168" i="7"/>
  <c r="H167" i="7"/>
  <c r="G167" i="7"/>
  <c r="F167" i="7"/>
  <c r="E167" i="7"/>
  <c r="D167" i="7"/>
  <c r="H166" i="7"/>
  <c r="G166" i="7"/>
  <c r="F166" i="7"/>
  <c r="E166" i="7"/>
  <c r="D166" i="7"/>
  <c r="H165" i="7"/>
  <c r="G165" i="7"/>
  <c r="F165" i="7"/>
  <c r="E165" i="7"/>
  <c r="D165" i="7"/>
  <c r="H164" i="7"/>
  <c r="G164" i="7"/>
  <c r="F164" i="7"/>
  <c r="E164" i="7"/>
  <c r="D164" i="7"/>
  <c r="H163" i="7"/>
  <c r="G163" i="7"/>
  <c r="F163" i="7"/>
  <c r="E163" i="7"/>
  <c r="D163" i="7"/>
  <c r="H162" i="7"/>
  <c r="G162" i="7"/>
  <c r="F162" i="7"/>
  <c r="E162" i="7"/>
  <c r="D162" i="7"/>
  <c r="H161" i="7"/>
  <c r="G161" i="7"/>
  <c r="F161" i="7"/>
  <c r="E161" i="7"/>
  <c r="D161" i="7"/>
  <c r="H160" i="7"/>
  <c r="G160" i="7"/>
  <c r="F160" i="7"/>
  <c r="E160" i="7"/>
  <c r="D160" i="7"/>
  <c r="H153" i="7" l="1"/>
  <c r="G153" i="7"/>
  <c r="F153" i="7"/>
  <c r="E153" i="7"/>
  <c r="D153" i="7"/>
  <c r="M31" i="10" l="1"/>
  <c r="D33" i="10"/>
  <c r="G155" i="7"/>
  <c r="E155" i="7"/>
  <c r="H155" i="7"/>
  <c r="D155" i="7"/>
  <c r="F155" i="7"/>
  <c r="I153" i="7"/>
  <c r="M33" i="10" l="1"/>
  <c r="I155" i="7"/>
  <c r="L99" i="11" l="1"/>
  <c r="K99" i="11"/>
  <c r="J99" i="11"/>
  <c r="I99" i="11"/>
  <c r="H99" i="11"/>
  <c r="G99" i="11"/>
  <c r="F99" i="11"/>
  <c r="E99" i="11"/>
  <c r="D99" i="11"/>
  <c r="M98" i="11"/>
  <c r="M97" i="11"/>
  <c r="M96" i="11"/>
  <c r="M95" i="11"/>
  <c r="M94" i="11"/>
  <c r="M93" i="11"/>
  <c r="M92" i="11"/>
  <c r="M91" i="11"/>
  <c r="M90" i="11"/>
  <c r="D44" i="11"/>
  <c r="D43" i="11"/>
  <c r="D42" i="11"/>
  <c r="D41" i="11"/>
  <c r="D40" i="11"/>
  <c r="D39" i="11"/>
  <c r="D38" i="11"/>
  <c r="D37" i="11"/>
  <c r="D36" i="11"/>
  <c r="D35" i="11"/>
  <c r="J108" i="11" l="1"/>
  <c r="M108" i="11"/>
  <c r="K108" i="11"/>
  <c r="H108" i="11"/>
  <c r="L108" i="11"/>
  <c r="G108" i="11"/>
  <c r="F108" i="11"/>
  <c r="E108" i="11"/>
  <c r="D108" i="11"/>
  <c r="I108" i="11"/>
  <c r="H111" i="11"/>
  <c r="E111" i="11"/>
  <c r="G111" i="11"/>
  <c r="F111" i="11"/>
  <c r="L111" i="11"/>
  <c r="K111" i="11"/>
  <c r="D111" i="11"/>
  <c r="J111" i="11"/>
  <c r="I111" i="11"/>
  <c r="M111" i="11"/>
  <c r="J112" i="11"/>
  <c r="I112" i="11"/>
  <c r="G112" i="11"/>
  <c r="H112" i="11"/>
  <c r="E112" i="11"/>
  <c r="M112" i="11"/>
  <c r="D112" i="11"/>
  <c r="L112" i="11"/>
  <c r="K112" i="11"/>
  <c r="F112" i="11"/>
  <c r="L110" i="11"/>
  <c r="F110" i="11"/>
  <c r="E110" i="11"/>
  <c r="K110" i="11"/>
  <c r="D110" i="11"/>
  <c r="M110" i="11"/>
  <c r="J110" i="11"/>
  <c r="I110" i="11"/>
  <c r="H110" i="11"/>
  <c r="G110" i="11"/>
  <c r="F104" i="11"/>
  <c r="E104" i="11"/>
  <c r="M104" i="11"/>
  <c r="D104" i="11"/>
  <c r="K104" i="11"/>
  <c r="L104" i="11"/>
  <c r="J104" i="11"/>
  <c r="I104" i="11"/>
  <c r="H104" i="11"/>
  <c r="G104" i="11"/>
  <c r="J106" i="11"/>
  <c r="G106" i="11"/>
  <c r="D106" i="11"/>
  <c r="I106" i="11"/>
  <c r="H106" i="11"/>
  <c r="E106" i="11"/>
  <c r="M106" i="11"/>
  <c r="F106" i="11"/>
  <c r="L106" i="11"/>
  <c r="K106" i="11"/>
  <c r="D109" i="11"/>
  <c r="M109" i="11"/>
  <c r="I109" i="11"/>
  <c r="L109" i="11"/>
  <c r="J109" i="11"/>
  <c r="H109" i="11"/>
  <c r="G109" i="11"/>
  <c r="K109" i="11"/>
  <c r="F109" i="11"/>
  <c r="E109" i="11"/>
  <c r="M105" i="11"/>
  <c r="H105" i="11"/>
  <c r="G105" i="11"/>
  <c r="E105" i="11"/>
  <c r="F105" i="11"/>
  <c r="L105" i="11"/>
  <c r="K105" i="11"/>
  <c r="J105" i="11"/>
  <c r="I105" i="11"/>
  <c r="D105" i="11"/>
  <c r="L107" i="11"/>
  <c r="K107" i="11"/>
  <c r="J107" i="11"/>
  <c r="I107" i="11"/>
  <c r="H107" i="11"/>
  <c r="F107" i="11"/>
  <c r="E107" i="11"/>
  <c r="G107" i="11"/>
  <c r="D107" i="11"/>
  <c r="M107" i="11"/>
  <c r="M99" i="11"/>
  <c r="M113" i="11" s="1"/>
  <c r="I62" i="7"/>
  <c r="H62" i="7"/>
  <c r="G62" i="7"/>
  <c r="F62" i="7"/>
  <c r="E62" i="7"/>
  <c r="D62" i="7"/>
  <c r="I60" i="7"/>
  <c r="H60" i="7"/>
  <c r="G60" i="7"/>
  <c r="F60" i="7"/>
  <c r="E60" i="7"/>
  <c r="D60" i="7"/>
  <c r="I59" i="7"/>
  <c r="H59" i="7"/>
  <c r="G59" i="7"/>
  <c r="F59" i="7"/>
  <c r="E59" i="7"/>
  <c r="D59" i="7"/>
  <c r="I58" i="7"/>
  <c r="H58" i="7"/>
  <c r="G58" i="7"/>
  <c r="F58" i="7"/>
  <c r="E58" i="7"/>
  <c r="D58" i="7"/>
  <c r="I57" i="7"/>
  <c r="H57" i="7"/>
  <c r="G57" i="7"/>
  <c r="F57" i="7"/>
  <c r="E57" i="7"/>
  <c r="D57" i="7"/>
  <c r="I56" i="7"/>
  <c r="H56" i="7"/>
  <c r="G56" i="7"/>
  <c r="F56" i="7"/>
  <c r="E56" i="7"/>
  <c r="D56" i="7"/>
  <c r="I55" i="7"/>
  <c r="H55" i="7"/>
  <c r="G55" i="7"/>
  <c r="F55" i="7"/>
  <c r="E55" i="7"/>
  <c r="D55" i="7"/>
  <c r="I54" i="7"/>
  <c r="H54" i="7"/>
  <c r="G54" i="7"/>
  <c r="F54" i="7"/>
  <c r="E54" i="7"/>
  <c r="D54" i="7"/>
  <c r="I53" i="7"/>
  <c r="H53" i="7"/>
  <c r="G53" i="7"/>
  <c r="F53" i="7"/>
  <c r="E53" i="7"/>
  <c r="D53" i="7"/>
  <c r="I52" i="7"/>
  <c r="H52" i="7"/>
  <c r="G52" i="7"/>
  <c r="F52" i="7"/>
  <c r="E52" i="7"/>
  <c r="D52" i="7"/>
  <c r="E113" i="11" l="1"/>
  <c r="H113" i="11"/>
  <c r="F113" i="11"/>
  <c r="L113" i="11"/>
  <c r="K113" i="11"/>
  <c r="D113" i="11"/>
  <c r="I113" i="11"/>
  <c r="G113" i="11"/>
  <c r="J113" i="11"/>
  <c r="H190" i="13"/>
  <c r="G190" i="13"/>
  <c r="F190" i="13"/>
  <c r="E190" i="13"/>
  <c r="D190" i="13"/>
  <c r="H189" i="13"/>
  <c r="G189" i="13"/>
  <c r="F189" i="13"/>
  <c r="E189" i="13"/>
  <c r="D189" i="13"/>
  <c r="H188" i="13"/>
  <c r="G188" i="13"/>
  <c r="F188" i="13"/>
  <c r="E188" i="13"/>
  <c r="D188" i="13"/>
  <c r="H187" i="13"/>
  <c r="G187" i="13"/>
  <c r="F187" i="13"/>
  <c r="E187" i="13"/>
  <c r="D187" i="13"/>
  <c r="H186" i="13"/>
  <c r="G186" i="13"/>
  <c r="F186" i="13"/>
  <c r="E186" i="13"/>
  <c r="D186" i="13"/>
  <c r="H185" i="13"/>
  <c r="G185" i="13"/>
  <c r="F185" i="13"/>
  <c r="E185" i="13"/>
  <c r="D185" i="13"/>
  <c r="H184" i="13"/>
  <c r="G184" i="13"/>
  <c r="F184" i="13"/>
  <c r="E184" i="13"/>
  <c r="D184" i="13"/>
  <c r="H183" i="13"/>
  <c r="G183" i="13"/>
  <c r="F183" i="13"/>
  <c r="E183" i="13"/>
  <c r="D183" i="13"/>
  <c r="H182" i="13"/>
  <c r="G182" i="13"/>
  <c r="F182" i="13"/>
  <c r="E182" i="13"/>
  <c r="D182" i="13"/>
  <c r="H181" i="13"/>
  <c r="G181" i="13"/>
  <c r="F181" i="13"/>
  <c r="E181" i="13"/>
  <c r="D181" i="13"/>
  <c r="H180" i="13"/>
  <c r="G180" i="13"/>
  <c r="F180" i="13"/>
  <c r="E180" i="13"/>
  <c r="D180" i="13"/>
  <c r="H179" i="13"/>
  <c r="G179" i="13"/>
  <c r="F179" i="13"/>
  <c r="E179" i="13"/>
  <c r="D179" i="13"/>
  <c r="H178" i="13"/>
  <c r="G178" i="13"/>
  <c r="F178" i="13"/>
  <c r="E178" i="13"/>
  <c r="D178" i="13"/>
  <c r="H177" i="13"/>
  <c r="G177" i="13"/>
  <c r="F177" i="13"/>
  <c r="E177" i="13"/>
  <c r="D177" i="13"/>
  <c r="H176" i="13"/>
  <c r="G176" i="13"/>
  <c r="F176" i="13"/>
  <c r="E176" i="13"/>
  <c r="D176" i="13"/>
  <c r="H125" i="13"/>
  <c r="G125" i="13"/>
  <c r="F125" i="13"/>
  <c r="E125" i="13"/>
  <c r="D125" i="13"/>
  <c r="H124" i="13"/>
  <c r="G124" i="13"/>
  <c r="F124" i="13"/>
  <c r="E124" i="13"/>
  <c r="D124" i="13"/>
  <c r="H123" i="13"/>
  <c r="G123" i="13"/>
  <c r="F123" i="13"/>
  <c r="E123" i="13"/>
  <c r="D123" i="13"/>
  <c r="H122" i="13"/>
  <c r="G122" i="13"/>
  <c r="F122" i="13"/>
  <c r="E122" i="13"/>
  <c r="D122" i="13"/>
  <c r="H121" i="13"/>
  <c r="G121" i="13"/>
  <c r="F121" i="13"/>
  <c r="E121" i="13"/>
  <c r="D121" i="13"/>
  <c r="H120" i="13"/>
  <c r="G120" i="13"/>
  <c r="F120" i="13"/>
  <c r="E120" i="13"/>
  <c r="D120" i="13"/>
  <c r="H119" i="13"/>
  <c r="G119" i="13"/>
  <c r="F119" i="13"/>
  <c r="E119" i="13"/>
  <c r="D119" i="13"/>
  <c r="H118" i="13"/>
  <c r="G118" i="13"/>
  <c r="F118" i="13"/>
  <c r="E118" i="13"/>
  <c r="D118" i="13"/>
  <c r="H117" i="13"/>
  <c r="G117" i="13"/>
  <c r="F117" i="13"/>
  <c r="E117" i="13"/>
  <c r="D117" i="13"/>
  <c r="H116" i="13"/>
  <c r="G116" i="13"/>
  <c r="F116" i="13"/>
  <c r="E116" i="13"/>
  <c r="D116" i="13"/>
  <c r="J72" i="13"/>
  <c r="I72" i="13"/>
  <c r="H72" i="13"/>
  <c r="G72" i="13"/>
  <c r="F72" i="13"/>
  <c r="E72" i="13"/>
  <c r="J71" i="13"/>
  <c r="I71" i="13"/>
  <c r="H71" i="13"/>
  <c r="G71" i="13"/>
  <c r="F71" i="13"/>
  <c r="E71" i="13"/>
  <c r="D71" i="13"/>
  <c r="J70" i="13"/>
  <c r="I70" i="13"/>
  <c r="H70" i="13"/>
  <c r="G70" i="13"/>
  <c r="F70" i="13"/>
  <c r="E70" i="13"/>
  <c r="D70" i="13"/>
  <c r="J69" i="13"/>
  <c r="I69" i="13"/>
  <c r="H69" i="13"/>
  <c r="G69" i="13"/>
  <c r="F69" i="13"/>
  <c r="E69" i="13"/>
  <c r="D69" i="13"/>
  <c r="J68" i="13"/>
  <c r="I68" i="13"/>
  <c r="H68" i="13"/>
  <c r="G68" i="13"/>
  <c r="F68" i="13"/>
  <c r="E68" i="13"/>
  <c r="D68" i="13"/>
  <c r="J67" i="13"/>
  <c r="I67" i="13"/>
  <c r="H67" i="13"/>
  <c r="G67" i="13"/>
  <c r="F67" i="13"/>
  <c r="E67" i="13"/>
  <c r="D67" i="13"/>
  <c r="I66" i="13"/>
  <c r="H66" i="13"/>
  <c r="G66" i="13"/>
  <c r="F66" i="13"/>
  <c r="E66" i="13"/>
  <c r="D66" i="13"/>
  <c r="I65" i="13"/>
  <c r="H65" i="13"/>
  <c r="G65" i="13"/>
  <c r="F65" i="13"/>
  <c r="E65" i="13"/>
  <c r="D65" i="13"/>
  <c r="I64" i="13"/>
  <c r="H64" i="13"/>
  <c r="G64" i="13"/>
  <c r="F64" i="13"/>
  <c r="E64" i="13"/>
  <c r="D64" i="13"/>
  <c r="I63" i="13"/>
  <c r="H63" i="13"/>
  <c r="G63" i="13"/>
  <c r="F63" i="13"/>
  <c r="E63" i="13"/>
  <c r="D63" i="13"/>
  <c r="I62" i="13"/>
  <c r="H62" i="13"/>
  <c r="G62" i="13"/>
  <c r="F62" i="13"/>
  <c r="E62" i="13"/>
  <c r="D62" i="13"/>
  <c r="I61" i="13"/>
  <c r="H61" i="13"/>
  <c r="G61" i="13"/>
  <c r="F61" i="13"/>
  <c r="E61" i="13"/>
  <c r="D61" i="13"/>
  <c r="I60" i="13"/>
  <c r="H60" i="13"/>
  <c r="G60" i="13"/>
  <c r="F60" i="13"/>
  <c r="E60" i="13"/>
  <c r="D60" i="13"/>
  <c r="I59" i="13"/>
  <c r="H59" i="13"/>
  <c r="G59" i="13"/>
  <c r="F59" i="13"/>
  <c r="E59" i="13"/>
  <c r="D59" i="13"/>
  <c r="I58" i="13"/>
  <c r="H58" i="13"/>
  <c r="G58" i="13"/>
  <c r="F58" i="13"/>
  <c r="E58" i="13"/>
  <c r="D58" i="13"/>
  <c r="I57" i="13"/>
  <c r="H57" i="13"/>
  <c r="G57" i="13"/>
  <c r="F57" i="13"/>
  <c r="E57" i="13"/>
  <c r="D57" i="13"/>
  <c r="I56" i="13"/>
  <c r="H56" i="13"/>
  <c r="G56" i="13"/>
  <c r="F56" i="13"/>
  <c r="E56" i="13"/>
  <c r="D56" i="13"/>
  <c r="I55" i="13"/>
  <c r="H55" i="13"/>
  <c r="G55" i="13"/>
  <c r="F55" i="13"/>
  <c r="E55" i="13"/>
  <c r="D55" i="13"/>
  <c r="I93" i="13"/>
  <c r="I92" i="13"/>
  <c r="I137" i="13"/>
  <c r="L91" i="12"/>
  <c r="L84" i="12"/>
  <c r="L82" i="12"/>
  <c r="L70" i="12"/>
  <c r="L67" i="12"/>
  <c r="L62" i="12"/>
  <c r="L60" i="12"/>
  <c r="L57" i="12"/>
  <c r="L54" i="12"/>
  <c r="L43" i="12"/>
  <c r="L40" i="12"/>
  <c r="L36" i="12"/>
  <c r="L34" i="12"/>
  <c r="L33" i="12"/>
  <c r="L30" i="12"/>
  <c r="L28" i="12"/>
  <c r="L19" i="12"/>
  <c r="L18" i="12"/>
  <c r="L9" i="12"/>
  <c r="D9" i="7"/>
  <c r="E60" i="9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36" i="13"/>
  <c r="I91" i="13"/>
  <c r="I90" i="13"/>
  <c r="I88" i="13"/>
  <c r="I87" i="13"/>
  <c r="I86" i="13"/>
  <c r="I84" i="13"/>
  <c r="I85" i="13"/>
  <c r="I89" i="13"/>
  <c r="J19" i="13"/>
  <c r="J65" i="13" s="1"/>
  <c r="J18" i="13"/>
  <c r="J64" i="13" s="1"/>
  <c r="J16" i="13"/>
  <c r="J62" i="13" s="1"/>
  <c r="J13" i="13"/>
  <c r="J12" i="13"/>
  <c r="J10" i="13"/>
  <c r="J9" i="13"/>
  <c r="H84" i="12"/>
  <c r="H40" i="12"/>
  <c r="H20" i="12"/>
  <c r="L20" i="12" s="1"/>
  <c r="H98" i="12"/>
  <c r="L98" i="12" s="1"/>
  <c r="H97" i="12"/>
  <c r="L97" i="12" s="1"/>
  <c r="H95" i="12"/>
  <c r="L95" i="12" s="1"/>
  <c r="H94" i="12"/>
  <c r="L94" i="12" s="1"/>
  <c r="H92" i="12"/>
  <c r="L92" i="12" s="1"/>
  <c r="H91" i="12"/>
  <c r="H89" i="12"/>
  <c r="L89" i="12" s="1"/>
  <c r="H88" i="12"/>
  <c r="L88" i="12" s="1"/>
  <c r="H87" i="12"/>
  <c r="L87" i="12" s="1"/>
  <c r="H86" i="12"/>
  <c r="L86" i="12" s="1"/>
  <c r="H83" i="12"/>
  <c r="L83" i="12" s="1"/>
  <c r="H82" i="12"/>
  <c r="H81" i="12"/>
  <c r="L81" i="12" s="1"/>
  <c r="H79" i="12"/>
  <c r="L79" i="12" s="1"/>
  <c r="H78" i="12"/>
  <c r="L78" i="12" s="1"/>
  <c r="H76" i="12"/>
  <c r="L76" i="12" s="1"/>
  <c r="H75" i="12"/>
  <c r="L75" i="12" s="1"/>
  <c r="H73" i="12"/>
  <c r="L73" i="12" s="1"/>
  <c r="H72" i="12"/>
  <c r="L72" i="12" s="1"/>
  <c r="H71" i="12"/>
  <c r="L71" i="12" s="1"/>
  <c r="H70" i="12"/>
  <c r="H68" i="12"/>
  <c r="L68" i="12" s="1"/>
  <c r="H67" i="12"/>
  <c r="H66" i="12"/>
  <c r="L66" i="12" s="1"/>
  <c r="H65" i="12"/>
  <c r="L65" i="12" s="1"/>
  <c r="H63" i="12"/>
  <c r="L63" i="12" s="1"/>
  <c r="H62" i="12"/>
  <c r="H60" i="12"/>
  <c r="H59" i="12"/>
  <c r="L59" i="12" s="1"/>
  <c r="H57" i="12"/>
  <c r="H56" i="12"/>
  <c r="L56" i="12" s="1"/>
  <c r="H55" i="12"/>
  <c r="L55" i="12" s="1"/>
  <c r="H54" i="12"/>
  <c r="H52" i="12"/>
  <c r="L52" i="12" s="1"/>
  <c r="H51" i="12"/>
  <c r="L51" i="12" s="1"/>
  <c r="H50" i="12"/>
  <c r="L50" i="12" s="1"/>
  <c r="H49" i="12"/>
  <c r="L49" i="12" s="1"/>
  <c r="H47" i="12"/>
  <c r="L47" i="12" s="1"/>
  <c r="H46" i="12"/>
  <c r="L46" i="12" s="1"/>
  <c r="H44" i="12"/>
  <c r="L44" i="12" s="1"/>
  <c r="H43" i="12"/>
  <c r="H41" i="12"/>
  <c r="L41" i="12" s="1"/>
  <c r="H39" i="12"/>
  <c r="L39" i="12" s="1"/>
  <c r="H38" i="12"/>
  <c r="L38" i="12" s="1"/>
  <c r="H36" i="12"/>
  <c r="H35" i="12"/>
  <c r="L35" i="12" s="1"/>
  <c r="H34" i="12"/>
  <c r="H33" i="12"/>
  <c r="H31" i="12"/>
  <c r="L31" i="12" s="1"/>
  <c r="H30" i="12"/>
  <c r="H28" i="12"/>
  <c r="H27" i="12"/>
  <c r="L27" i="12" s="1"/>
  <c r="H25" i="12"/>
  <c r="L25" i="12" s="1"/>
  <c r="H24" i="12"/>
  <c r="L24" i="12" s="1"/>
  <c r="H23" i="12"/>
  <c r="L23" i="12" s="1"/>
  <c r="H22" i="12"/>
  <c r="L22" i="12" s="1"/>
  <c r="H19" i="12"/>
  <c r="H18" i="12"/>
  <c r="H17" i="12"/>
  <c r="L17" i="12" s="1"/>
  <c r="H15" i="12"/>
  <c r="L15" i="12" s="1"/>
  <c r="H14" i="12"/>
  <c r="L14" i="12" s="1"/>
  <c r="H12" i="12"/>
  <c r="L12" i="12" s="1"/>
  <c r="H11" i="12"/>
  <c r="L11" i="12" s="1"/>
  <c r="H9" i="12"/>
  <c r="H8" i="12"/>
  <c r="L8" i="12" s="1"/>
  <c r="I14" i="10"/>
  <c r="I44" i="10" s="1"/>
  <c r="G14" i="10"/>
  <c r="G44" i="10" s="1"/>
  <c r="D14" i="10"/>
  <c r="D44" i="10" s="1"/>
  <c r="M78" i="10"/>
  <c r="M152" i="10" s="1"/>
  <c r="K13" i="10"/>
  <c r="K43" i="10" s="1"/>
  <c r="I13" i="10"/>
  <c r="I43" i="10" s="1"/>
  <c r="F13" i="10"/>
  <c r="F43" i="10" s="1"/>
  <c r="M62" i="10"/>
  <c r="M136" i="10" s="1"/>
  <c r="G10" i="10"/>
  <c r="G40" i="10" s="1"/>
  <c r="E8" i="10"/>
  <c r="E38" i="10" s="1"/>
  <c r="G16" i="7"/>
  <c r="F14" i="7"/>
  <c r="F13" i="7"/>
  <c r="E13" i="7"/>
  <c r="I95" i="7"/>
  <c r="I169" i="7" s="1"/>
  <c r="D28" i="2"/>
  <c r="J1" i="2"/>
  <c r="E22" i="2" s="1"/>
  <c r="R59" i="9"/>
  <c r="R58" i="9"/>
  <c r="P57" i="9"/>
  <c r="P56" i="9"/>
  <c r="R55" i="9"/>
  <c r="R54" i="9"/>
  <c r="P53" i="9"/>
  <c r="P52" i="9"/>
  <c r="R51" i="9"/>
  <c r="R50" i="9"/>
  <c r="P49" i="9"/>
  <c r="P48" i="9"/>
  <c r="R47" i="9"/>
  <c r="R46" i="9"/>
  <c r="P45" i="9"/>
  <c r="P44" i="9"/>
  <c r="R43" i="9"/>
  <c r="R42" i="9"/>
  <c r="P41" i="9"/>
  <c r="P40" i="9"/>
  <c r="R39" i="9"/>
  <c r="R38" i="9"/>
  <c r="P37" i="9"/>
  <c r="P36" i="9"/>
  <c r="R35" i="9"/>
  <c r="R34" i="9"/>
  <c r="P33" i="9"/>
  <c r="P32" i="9"/>
  <c r="R31" i="9"/>
  <c r="R30" i="9"/>
  <c r="O58" i="9"/>
  <c r="O54" i="9"/>
  <c r="O50" i="9"/>
  <c r="O42" i="9"/>
  <c r="M57" i="9"/>
  <c r="M59" i="9"/>
  <c r="M58" i="9"/>
  <c r="O57" i="9"/>
  <c r="M56" i="9"/>
  <c r="M55" i="9"/>
  <c r="M54" i="9"/>
  <c r="O53" i="9"/>
  <c r="M52" i="9"/>
  <c r="M51" i="9"/>
  <c r="M50" i="9"/>
  <c r="O49" i="9"/>
  <c r="M48" i="9"/>
  <c r="M47" i="9"/>
  <c r="M46" i="9"/>
  <c r="O45" i="9"/>
  <c r="M44" i="9"/>
  <c r="M43" i="9"/>
  <c r="M42" i="9"/>
  <c r="O41" i="9"/>
  <c r="M40" i="9"/>
  <c r="M39" i="9"/>
  <c r="M38" i="9"/>
  <c r="O37" i="9"/>
  <c r="M36" i="9"/>
  <c r="M35" i="9"/>
  <c r="M34" i="9"/>
  <c r="O33" i="9"/>
  <c r="M32" i="9"/>
  <c r="M31" i="9"/>
  <c r="M30" i="9"/>
  <c r="L58" i="9"/>
  <c r="L53" i="9"/>
  <c r="J56" i="9"/>
  <c r="J59" i="9"/>
  <c r="J58" i="9"/>
  <c r="L57" i="9"/>
  <c r="L56" i="9"/>
  <c r="J55" i="9"/>
  <c r="J54" i="9"/>
  <c r="J53" i="9"/>
  <c r="L52" i="9"/>
  <c r="J51" i="9"/>
  <c r="J50" i="9"/>
  <c r="J49" i="9"/>
  <c r="L48" i="9"/>
  <c r="J47" i="9"/>
  <c r="J46" i="9"/>
  <c r="J45" i="9"/>
  <c r="L44" i="9"/>
  <c r="J43" i="9"/>
  <c r="J42" i="9"/>
  <c r="L41" i="9"/>
  <c r="L40" i="9"/>
  <c r="J39" i="9"/>
  <c r="J38" i="9"/>
  <c r="L37" i="9"/>
  <c r="L36" i="9"/>
  <c r="J35" i="9"/>
  <c r="J34" i="9"/>
  <c r="L33" i="9"/>
  <c r="L32" i="9"/>
  <c r="J31" i="9"/>
  <c r="J30" i="9"/>
  <c r="I57" i="9"/>
  <c r="I53" i="9"/>
  <c r="I45" i="9"/>
  <c r="G59" i="9"/>
  <c r="G58" i="9"/>
  <c r="G57" i="9"/>
  <c r="G56" i="9"/>
  <c r="G55" i="9"/>
  <c r="G54" i="9"/>
  <c r="G53" i="9"/>
  <c r="I52" i="9"/>
  <c r="G51" i="9"/>
  <c r="G50" i="9"/>
  <c r="G49" i="9"/>
  <c r="G48" i="9"/>
  <c r="G47" i="9"/>
  <c r="G46" i="9"/>
  <c r="G45" i="9"/>
  <c r="I44" i="9"/>
  <c r="G43" i="9"/>
  <c r="G42" i="9"/>
  <c r="G41" i="9"/>
  <c r="I40" i="9"/>
  <c r="G39" i="9"/>
  <c r="G38" i="9"/>
  <c r="G37" i="9"/>
  <c r="I36" i="9"/>
  <c r="G35" i="9"/>
  <c r="G34" i="9"/>
  <c r="G33" i="9"/>
  <c r="I32" i="9"/>
  <c r="G31" i="9"/>
  <c r="G30" i="9"/>
  <c r="F57" i="9"/>
  <c r="F49" i="9"/>
  <c r="D53" i="9"/>
  <c r="D45" i="9"/>
  <c r="F59" i="9"/>
  <c r="D58" i="9"/>
  <c r="D57" i="9"/>
  <c r="F56" i="9"/>
  <c r="F55" i="9"/>
  <c r="F54" i="9"/>
  <c r="F53" i="9"/>
  <c r="F52" i="9"/>
  <c r="F51" i="9"/>
  <c r="F50" i="9"/>
  <c r="D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R18" i="9"/>
  <c r="P17" i="9"/>
  <c r="R16" i="9"/>
  <c r="R15" i="9"/>
  <c r="P13" i="9"/>
  <c r="R12" i="9"/>
  <c r="O16" i="9"/>
  <c r="O18" i="9"/>
  <c r="M17" i="9"/>
  <c r="M16" i="9"/>
  <c r="M15" i="9"/>
  <c r="O14" i="9"/>
  <c r="M13" i="9"/>
  <c r="M12" i="9"/>
  <c r="M11" i="9"/>
  <c r="O10" i="9"/>
  <c r="L18" i="9"/>
  <c r="L16" i="9"/>
  <c r="L14" i="9"/>
  <c r="J13" i="9"/>
  <c r="J12" i="9"/>
  <c r="L11" i="9"/>
  <c r="J17" i="9"/>
  <c r="L17" i="9"/>
  <c r="L15" i="9"/>
  <c r="J18" i="9"/>
  <c r="J15" i="9"/>
  <c r="G18" i="9"/>
  <c r="G10" i="9"/>
  <c r="I18" i="9"/>
  <c r="G17" i="9"/>
  <c r="I16" i="9"/>
  <c r="I15" i="9"/>
  <c r="I14" i="9"/>
  <c r="G13" i="9"/>
  <c r="I12" i="9"/>
  <c r="I11" i="9"/>
  <c r="I10" i="9"/>
  <c r="F18" i="9"/>
  <c r="D17" i="9"/>
  <c r="D16" i="9"/>
  <c r="D15" i="9"/>
  <c r="F14" i="9"/>
  <c r="D13" i="9"/>
  <c r="D12" i="9"/>
  <c r="F11" i="9"/>
  <c r="F10" i="9"/>
  <c r="J55" i="13" l="1"/>
  <c r="J56" i="13"/>
  <c r="U22" i="13"/>
  <c r="J58" i="13"/>
  <c r="U24" i="13"/>
  <c r="J59" i="13"/>
  <c r="U25" i="13"/>
  <c r="I185" i="13"/>
  <c r="I176" i="13"/>
  <c r="J162" i="13"/>
  <c r="I180" i="13"/>
  <c r="I186" i="13"/>
  <c r="I188" i="13"/>
  <c r="I181" i="13"/>
  <c r="I124" i="13"/>
  <c r="I179" i="13"/>
  <c r="I189" i="13"/>
  <c r="I183" i="13"/>
  <c r="I184" i="13"/>
  <c r="I187" i="13"/>
  <c r="J142" i="13"/>
  <c r="I177" i="13"/>
  <c r="I178" i="13"/>
  <c r="I122" i="13"/>
  <c r="I123" i="13"/>
  <c r="I125" i="13"/>
  <c r="I182" i="13"/>
  <c r="I118" i="13"/>
  <c r="I119" i="13"/>
  <c r="I120" i="13"/>
  <c r="F74" i="7"/>
  <c r="G76" i="7"/>
  <c r="D69" i="7"/>
  <c r="E73" i="7"/>
  <c r="F73" i="7"/>
  <c r="I116" i="13"/>
  <c r="I121" i="13"/>
  <c r="I117" i="13"/>
  <c r="I150" i="13"/>
  <c r="J17" i="13"/>
  <c r="J63" i="13" s="1"/>
  <c r="J11" i="13"/>
  <c r="J15" i="13"/>
  <c r="J61" i="13" s="1"/>
  <c r="J14" i="13"/>
  <c r="J20" i="13"/>
  <c r="J66" i="13" s="1"/>
  <c r="H13" i="12"/>
  <c r="L13" i="12" s="1"/>
  <c r="H21" i="12"/>
  <c r="L21" i="12" s="1"/>
  <c r="H29" i="12"/>
  <c r="L29" i="12" s="1"/>
  <c r="H37" i="12"/>
  <c r="L37" i="12" s="1"/>
  <c r="H45" i="12"/>
  <c r="L45" i="12" s="1"/>
  <c r="H53" i="12"/>
  <c r="L53" i="12" s="1"/>
  <c r="H61" i="12"/>
  <c r="L61" i="12" s="1"/>
  <c r="H69" i="12"/>
  <c r="L69" i="12" s="1"/>
  <c r="H77" i="12"/>
  <c r="L77" i="12" s="1"/>
  <c r="H85" i="12"/>
  <c r="L85" i="12" s="1"/>
  <c r="H93" i="12"/>
  <c r="L93" i="12" s="1"/>
  <c r="G8" i="10"/>
  <c r="G38" i="10" s="1"/>
  <c r="I111" i="7"/>
  <c r="I185" i="7" s="1"/>
  <c r="I96" i="7"/>
  <c r="I170" i="7" s="1"/>
  <c r="I112" i="7"/>
  <c r="I186" i="7" s="1"/>
  <c r="I115" i="7"/>
  <c r="I189" i="7" s="1"/>
  <c r="H10" i="12"/>
  <c r="L10" i="12" s="1"/>
  <c r="H26" i="12"/>
  <c r="L26" i="12" s="1"/>
  <c r="H42" i="12"/>
  <c r="L42" i="12" s="1"/>
  <c r="H58" i="12"/>
  <c r="L58" i="12" s="1"/>
  <c r="H74" i="12"/>
  <c r="L74" i="12" s="1"/>
  <c r="H90" i="12"/>
  <c r="L90" i="12" s="1"/>
  <c r="I99" i="7"/>
  <c r="I173" i="7" s="1"/>
  <c r="I93" i="7"/>
  <c r="I167" i="7" s="1"/>
  <c r="E12" i="7"/>
  <c r="G14" i="7"/>
  <c r="H14" i="7"/>
  <c r="E16" i="7"/>
  <c r="G13" i="10"/>
  <c r="G43" i="10" s="1"/>
  <c r="E14" i="10"/>
  <c r="E44" i="10" s="1"/>
  <c r="F16" i="7"/>
  <c r="H13" i="10"/>
  <c r="H43" i="10" s="1"/>
  <c r="F14" i="10"/>
  <c r="F44" i="10" s="1"/>
  <c r="I91" i="7"/>
  <c r="I165" i="7" s="1"/>
  <c r="I107" i="7"/>
  <c r="I181" i="7" s="1"/>
  <c r="I10" i="10"/>
  <c r="I40" i="10" s="1"/>
  <c r="L15" i="10"/>
  <c r="L45" i="10" s="1"/>
  <c r="H16" i="12"/>
  <c r="L16" i="12" s="1"/>
  <c r="H32" i="12"/>
  <c r="L32" i="12" s="1"/>
  <c r="H48" i="12"/>
  <c r="L48" i="12" s="1"/>
  <c r="H64" i="12"/>
  <c r="L64" i="12" s="1"/>
  <c r="H80" i="12"/>
  <c r="L80" i="12" s="1"/>
  <c r="H96" i="12"/>
  <c r="L96" i="12" s="1"/>
  <c r="I88" i="7"/>
  <c r="I162" i="7" s="1"/>
  <c r="I104" i="7"/>
  <c r="I178" i="7" s="1"/>
  <c r="J10" i="10"/>
  <c r="J40" i="10" s="1"/>
  <c r="M65" i="10"/>
  <c r="M139" i="10" s="1"/>
  <c r="D11" i="10"/>
  <c r="D41" i="10" s="1"/>
  <c r="G12" i="10"/>
  <c r="G42" i="10" s="1"/>
  <c r="L12" i="10"/>
  <c r="L42" i="10" s="1"/>
  <c r="J13" i="10"/>
  <c r="J43" i="10" s="1"/>
  <c r="H14" i="10"/>
  <c r="H44" i="10" s="1"/>
  <c r="K16" i="10"/>
  <c r="K46" i="10" s="1"/>
  <c r="I101" i="7"/>
  <c r="I175" i="7" s="1"/>
  <c r="D10" i="10"/>
  <c r="D40" i="10" s="1"/>
  <c r="E11" i="10"/>
  <c r="E41" i="10" s="1"/>
  <c r="H12" i="10"/>
  <c r="H42" i="10" s="1"/>
  <c r="M76" i="10"/>
  <c r="M150" i="10" s="1"/>
  <c r="G15" i="10"/>
  <c r="G45" i="10" s="1"/>
  <c r="L16" i="10"/>
  <c r="L46" i="10" s="1"/>
  <c r="I114" i="7"/>
  <c r="I188" i="7" s="1"/>
  <c r="I12" i="10"/>
  <c r="I42" i="10" s="1"/>
  <c r="L13" i="10"/>
  <c r="L43" i="10" s="1"/>
  <c r="E10" i="10"/>
  <c r="E40" i="10" s="1"/>
  <c r="H8" i="7"/>
  <c r="F8" i="10"/>
  <c r="F38" i="10" s="1"/>
  <c r="E9" i="7"/>
  <c r="H9" i="10"/>
  <c r="H39" i="10" s="1"/>
  <c r="M61" i="10"/>
  <c r="M135" i="10" s="1"/>
  <c r="M75" i="10"/>
  <c r="M149" i="10" s="1"/>
  <c r="D13" i="10"/>
  <c r="D43" i="10" s="1"/>
  <c r="E16" i="10"/>
  <c r="E46" i="10" s="1"/>
  <c r="H69" i="11"/>
  <c r="M64" i="11"/>
  <c r="I94" i="7"/>
  <c r="I168" i="7" s="1"/>
  <c r="J12" i="10"/>
  <c r="J42" i="10" s="1"/>
  <c r="I9" i="10"/>
  <c r="I39" i="10" s="1"/>
  <c r="G9" i="10"/>
  <c r="G39" i="10" s="1"/>
  <c r="F11" i="10"/>
  <c r="F41" i="10" s="1"/>
  <c r="M70" i="10"/>
  <c r="M144" i="10" s="1"/>
  <c r="E13" i="10"/>
  <c r="E43" i="10" s="1"/>
  <c r="J14" i="10"/>
  <c r="J44" i="10" s="1"/>
  <c r="H15" i="10"/>
  <c r="H45" i="10" s="1"/>
  <c r="F16" i="10"/>
  <c r="F46" i="10" s="1"/>
  <c r="M86" i="10"/>
  <c r="M160" i="10" s="1"/>
  <c r="M63" i="10"/>
  <c r="M137" i="10" s="1"/>
  <c r="G16" i="10"/>
  <c r="G46" i="10" s="1"/>
  <c r="M66" i="11"/>
  <c r="F11" i="7"/>
  <c r="D14" i="7"/>
  <c r="J9" i="10"/>
  <c r="J39" i="10" s="1"/>
  <c r="I90" i="7"/>
  <c r="I164" i="7" s="1"/>
  <c r="I106" i="7"/>
  <c r="I180" i="7" s="1"/>
  <c r="E14" i="7"/>
  <c r="K9" i="10"/>
  <c r="K39" i="10" s="1"/>
  <c r="D12" i="10"/>
  <c r="D42" i="10" s="1"/>
  <c r="H16" i="10"/>
  <c r="H46" i="10" s="1"/>
  <c r="L9" i="10"/>
  <c r="L39" i="10" s="1"/>
  <c r="E12" i="10"/>
  <c r="E42" i="10" s="1"/>
  <c r="D15" i="10"/>
  <c r="D45" i="10" s="1"/>
  <c r="I16" i="10"/>
  <c r="I46" i="10" s="1"/>
  <c r="M68" i="11"/>
  <c r="E11" i="7"/>
  <c r="M58" i="10"/>
  <c r="M132" i="10" s="1"/>
  <c r="F12" i="10"/>
  <c r="F42" i="10" s="1"/>
  <c r="M74" i="10"/>
  <c r="M148" i="10" s="1"/>
  <c r="E15" i="10"/>
  <c r="E45" i="10" s="1"/>
  <c r="J16" i="10"/>
  <c r="J46" i="10" s="1"/>
  <c r="M81" i="10"/>
  <c r="M155" i="10" s="1"/>
  <c r="M83" i="10"/>
  <c r="M157" i="10" s="1"/>
  <c r="H10" i="7"/>
  <c r="I97" i="7"/>
  <c r="I171" i="7" s="1"/>
  <c r="I113" i="7"/>
  <c r="I187" i="7" s="1"/>
  <c r="F10" i="10"/>
  <c r="F40" i="10" s="1"/>
  <c r="F10" i="7"/>
  <c r="H15" i="7"/>
  <c r="M71" i="10"/>
  <c r="M145" i="10" s="1"/>
  <c r="L14" i="10"/>
  <c r="L44" i="10" s="1"/>
  <c r="E117" i="7"/>
  <c r="E191" i="7" s="1"/>
  <c r="I11" i="10"/>
  <c r="I41" i="10" s="1"/>
  <c r="F117" i="7"/>
  <c r="F191" i="7" s="1"/>
  <c r="G9" i="7"/>
  <c r="G12" i="7"/>
  <c r="H13" i="7"/>
  <c r="D15" i="7"/>
  <c r="D9" i="10"/>
  <c r="D39" i="10" s="1"/>
  <c r="J11" i="10"/>
  <c r="J41" i="10" s="1"/>
  <c r="M73" i="10"/>
  <c r="M147" i="10" s="1"/>
  <c r="I87" i="7"/>
  <c r="I161" i="7" s="1"/>
  <c r="G11" i="10"/>
  <c r="G41" i="10" s="1"/>
  <c r="K14" i="10"/>
  <c r="K44" i="10" s="1"/>
  <c r="K12" i="10"/>
  <c r="K42" i="10" s="1"/>
  <c r="J15" i="10"/>
  <c r="J45" i="10" s="1"/>
  <c r="D11" i="7"/>
  <c r="G13" i="7"/>
  <c r="K15" i="10"/>
  <c r="K45" i="10" s="1"/>
  <c r="G8" i="7"/>
  <c r="I92" i="7"/>
  <c r="I166" i="7" s="1"/>
  <c r="H12" i="7"/>
  <c r="I108" i="7"/>
  <c r="I182" i="7" s="1"/>
  <c r="E15" i="7"/>
  <c r="J87" i="10"/>
  <c r="J161" i="10" s="1"/>
  <c r="E9" i="10"/>
  <c r="E39" i="10" s="1"/>
  <c r="M66" i="10"/>
  <c r="M140" i="10" s="1"/>
  <c r="K11" i="10"/>
  <c r="K41" i="10" s="1"/>
  <c r="E10" i="7"/>
  <c r="I110" i="7"/>
  <c r="I184" i="7" s="1"/>
  <c r="I15" i="10"/>
  <c r="I45" i="10" s="1"/>
  <c r="H11" i="10"/>
  <c r="H41" i="10" s="1"/>
  <c r="M60" i="10"/>
  <c r="M134" i="10" s="1"/>
  <c r="F9" i="7"/>
  <c r="F12" i="7"/>
  <c r="H8" i="10"/>
  <c r="H38" i="10" s="1"/>
  <c r="H10" i="10"/>
  <c r="H40" i="10" s="1"/>
  <c r="M67" i="11"/>
  <c r="I89" i="7"/>
  <c r="I163" i="7" s="1"/>
  <c r="I105" i="7"/>
  <c r="I179" i="7" s="1"/>
  <c r="F15" i="7"/>
  <c r="K87" i="10"/>
  <c r="K161" i="10" s="1"/>
  <c r="I87" i="10"/>
  <c r="I161" i="10" s="1"/>
  <c r="F9" i="10"/>
  <c r="F39" i="10" s="1"/>
  <c r="M59" i="10"/>
  <c r="M133" i="10" s="1"/>
  <c r="K10" i="10"/>
  <c r="K40" i="10" s="1"/>
  <c r="L11" i="10"/>
  <c r="L41" i="10" s="1"/>
  <c r="M82" i="10"/>
  <c r="M156" i="10" s="1"/>
  <c r="I103" i="7"/>
  <c r="I177" i="7" s="1"/>
  <c r="I100" i="7"/>
  <c r="I174" i="7" s="1"/>
  <c r="H16" i="7"/>
  <c r="H11" i="7"/>
  <c r="M69" i="10"/>
  <c r="M143" i="10" s="1"/>
  <c r="M85" i="10"/>
  <c r="M159" i="10" s="1"/>
  <c r="G10" i="7"/>
  <c r="M64" i="10"/>
  <c r="M138" i="10" s="1"/>
  <c r="M80" i="10"/>
  <c r="M154" i="10" s="1"/>
  <c r="I102" i="7"/>
  <c r="I176" i="7" s="1"/>
  <c r="G15" i="7"/>
  <c r="I109" i="7"/>
  <c r="I183" i="7" s="1"/>
  <c r="L10" i="10"/>
  <c r="L40" i="10" s="1"/>
  <c r="M68" i="10"/>
  <c r="M142" i="10" s="1"/>
  <c r="M84" i="10"/>
  <c r="M158" i="10" s="1"/>
  <c r="L87" i="10"/>
  <c r="L161" i="10" s="1"/>
  <c r="L8" i="10"/>
  <c r="L38" i="10" s="1"/>
  <c r="I8" i="10"/>
  <c r="I38" i="10" s="1"/>
  <c r="M72" i="10"/>
  <c r="M146" i="10" s="1"/>
  <c r="M57" i="10"/>
  <c r="M131" i="10" s="1"/>
  <c r="F15" i="10"/>
  <c r="F45" i="10" s="1"/>
  <c r="M77" i="10"/>
  <c r="M151" i="10" s="1"/>
  <c r="D16" i="10"/>
  <c r="D46" i="10" s="1"/>
  <c r="D87" i="10"/>
  <c r="D161" i="10" s="1"/>
  <c r="M79" i="10"/>
  <c r="M153" i="10" s="1"/>
  <c r="M67" i="10"/>
  <c r="M141" i="10" s="1"/>
  <c r="G87" i="10"/>
  <c r="G161" i="10" s="1"/>
  <c r="I69" i="11"/>
  <c r="K69" i="11"/>
  <c r="L69" i="11"/>
  <c r="F69" i="11"/>
  <c r="J69" i="11"/>
  <c r="D69" i="11"/>
  <c r="M60" i="11"/>
  <c r="E69" i="11"/>
  <c r="G69" i="11"/>
  <c r="M62" i="11"/>
  <c r="M63" i="11"/>
  <c r="M65" i="11"/>
  <c r="M61" i="11"/>
  <c r="E87" i="10"/>
  <c r="E161" i="10" s="1"/>
  <c r="H117" i="7"/>
  <c r="H191" i="7" s="1"/>
  <c r="D16" i="7"/>
  <c r="G11" i="7"/>
  <c r="I98" i="7"/>
  <c r="I172" i="7" s="1"/>
  <c r="I116" i="7"/>
  <c r="I190" i="7" s="1"/>
  <c r="H9" i="7"/>
  <c r="D10" i="7"/>
  <c r="D12" i="7"/>
  <c r="D13" i="7"/>
  <c r="E25" i="2"/>
  <c r="F25" i="2"/>
  <c r="F26" i="2"/>
  <c r="F28" i="2"/>
  <c r="E26" i="2"/>
  <c r="F27" i="2"/>
  <c r="F13" i="2"/>
  <c r="F12" i="2"/>
  <c r="F9" i="2"/>
  <c r="F14" i="2"/>
  <c r="F11" i="2"/>
  <c r="E27" i="2"/>
  <c r="E28" i="2"/>
  <c r="E23" i="2"/>
  <c r="F19" i="2"/>
  <c r="F23" i="2"/>
  <c r="E19" i="2"/>
  <c r="F16" i="2"/>
  <c r="F20" i="2"/>
  <c r="E16" i="2"/>
  <c r="E20" i="2"/>
  <c r="F17" i="2"/>
  <c r="F21" i="2"/>
  <c r="E17" i="2"/>
  <c r="E21" i="2"/>
  <c r="F18" i="2"/>
  <c r="F22" i="2"/>
  <c r="E18" i="2"/>
  <c r="G16" i="9"/>
  <c r="R17" i="9"/>
  <c r="F58" i="9"/>
  <c r="G44" i="9"/>
  <c r="I48" i="9"/>
  <c r="I56" i="9"/>
  <c r="J44" i="9"/>
  <c r="J57" i="9"/>
  <c r="M45" i="9"/>
  <c r="O30" i="9"/>
  <c r="O46" i="9"/>
  <c r="I37" i="9"/>
  <c r="I49" i="9"/>
  <c r="J48" i="9"/>
  <c r="L45" i="9"/>
  <c r="M49" i="9"/>
  <c r="O34" i="9"/>
  <c r="F15" i="9"/>
  <c r="G12" i="9"/>
  <c r="G52" i="9"/>
  <c r="I41" i="9"/>
  <c r="J52" i="9"/>
  <c r="L49" i="9"/>
  <c r="M53" i="9"/>
  <c r="O38" i="9"/>
  <c r="F16" i="9"/>
  <c r="G14" i="9"/>
  <c r="G40" i="9"/>
  <c r="M10" i="9"/>
  <c r="M14" i="9"/>
  <c r="O11" i="9"/>
  <c r="D14" i="9"/>
  <c r="D18" i="9"/>
  <c r="F12" i="9"/>
  <c r="I13" i="9"/>
  <c r="I17" i="9"/>
  <c r="L12" i="9"/>
  <c r="D11" i="9"/>
  <c r="D10" i="9"/>
  <c r="F13" i="9"/>
  <c r="F17" i="9"/>
  <c r="G11" i="9"/>
  <c r="G15" i="9"/>
  <c r="J16" i="9"/>
  <c r="O12" i="9"/>
  <c r="O17" i="9"/>
  <c r="O13" i="9"/>
  <c r="R10" i="9"/>
  <c r="P10" i="9"/>
  <c r="R14" i="9"/>
  <c r="P14" i="9"/>
  <c r="J14" i="9"/>
  <c r="M18" i="9"/>
  <c r="O15" i="9"/>
  <c r="R11" i="9"/>
  <c r="P11" i="9"/>
  <c r="P18" i="9"/>
  <c r="R13" i="9"/>
  <c r="D33" i="9"/>
  <c r="D37" i="9"/>
  <c r="D41" i="9"/>
  <c r="G32" i="9"/>
  <c r="G36" i="9"/>
  <c r="I33" i="9"/>
  <c r="J32" i="9"/>
  <c r="J36" i="9"/>
  <c r="J40" i="9"/>
  <c r="L30" i="9"/>
  <c r="L34" i="9"/>
  <c r="L38" i="9"/>
  <c r="L42" i="9"/>
  <c r="L46" i="9"/>
  <c r="L50" i="9"/>
  <c r="L54" i="9"/>
  <c r="M33" i="9"/>
  <c r="M37" i="9"/>
  <c r="M41" i="9"/>
  <c r="P30" i="9"/>
  <c r="P34" i="9"/>
  <c r="P38" i="9"/>
  <c r="P42" i="9"/>
  <c r="P46" i="9"/>
  <c r="P50" i="9"/>
  <c r="P54" i="9"/>
  <c r="P58" i="9"/>
  <c r="R32" i="9"/>
  <c r="R36" i="9"/>
  <c r="R40" i="9"/>
  <c r="R44" i="9"/>
  <c r="R48" i="9"/>
  <c r="R52" i="9"/>
  <c r="R56" i="9"/>
  <c r="P15" i="9"/>
  <c r="D30" i="9"/>
  <c r="D34" i="9"/>
  <c r="D38" i="9"/>
  <c r="D42" i="9"/>
  <c r="D46" i="9"/>
  <c r="D50" i="9"/>
  <c r="D54" i="9"/>
  <c r="I30" i="9"/>
  <c r="I34" i="9"/>
  <c r="I38" i="9"/>
  <c r="I42" i="9"/>
  <c r="I46" i="9"/>
  <c r="I50" i="9"/>
  <c r="I54" i="9"/>
  <c r="I58" i="9"/>
  <c r="J33" i="9"/>
  <c r="J37" i="9"/>
  <c r="J41" i="9"/>
  <c r="L31" i="9"/>
  <c r="L35" i="9"/>
  <c r="L39" i="9"/>
  <c r="L43" i="9"/>
  <c r="L47" i="9"/>
  <c r="L51" i="9"/>
  <c r="L55" i="9"/>
  <c r="L59" i="9"/>
  <c r="O31" i="9"/>
  <c r="O35" i="9"/>
  <c r="O39" i="9"/>
  <c r="O43" i="9"/>
  <c r="O47" i="9"/>
  <c r="O51" i="9"/>
  <c r="O55" i="9"/>
  <c r="O59" i="9"/>
  <c r="P31" i="9"/>
  <c r="P35" i="9"/>
  <c r="P39" i="9"/>
  <c r="P43" i="9"/>
  <c r="P47" i="9"/>
  <c r="P51" i="9"/>
  <c r="P55" i="9"/>
  <c r="P59" i="9"/>
  <c r="R33" i="9"/>
  <c r="R37" i="9"/>
  <c r="R41" i="9"/>
  <c r="R45" i="9"/>
  <c r="R49" i="9"/>
  <c r="R53" i="9"/>
  <c r="R57" i="9"/>
  <c r="P12" i="9"/>
  <c r="P16" i="9"/>
  <c r="D31" i="9"/>
  <c r="D35" i="9"/>
  <c r="D39" i="9"/>
  <c r="D43" i="9"/>
  <c r="D47" i="9"/>
  <c r="D51" i="9"/>
  <c r="D55" i="9"/>
  <c r="D59" i="9"/>
  <c r="I31" i="9"/>
  <c r="I35" i="9"/>
  <c r="I39" i="9"/>
  <c r="I43" i="9"/>
  <c r="I47" i="9"/>
  <c r="I51" i="9"/>
  <c r="I55" i="9"/>
  <c r="I59" i="9"/>
  <c r="O32" i="9"/>
  <c r="O36" i="9"/>
  <c r="O40" i="9"/>
  <c r="O44" i="9"/>
  <c r="O48" i="9"/>
  <c r="O52" i="9"/>
  <c r="O56" i="9"/>
  <c r="D32" i="9"/>
  <c r="D36" i="9"/>
  <c r="D40" i="9"/>
  <c r="D44" i="9"/>
  <c r="D48" i="9"/>
  <c r="D52" i="9"/>
  <c r="D56" i="9"/>
  <c r="J29" i="9"/>
  <c r="H60" i="9"/>
  <c r="Q19" i="9"/>
  <c r="N19" i="9"/>
  <c r="J11" i="9"/>
  <c r="K19" i="9"/>
  <c r="J10" i="9"/>
  <c r="L13" i="9"/>
  <c r="L10" i="9"/>
  <c r="H19" i="9"/>
  <c r="E19" i="9"/>
  <c r="J60" i="13" l="1"/>
  <c r="U26" i="13"/>
  <c r="J57" i="13"/>
  <c r="U23" i="13"/>
  <c r="U21" i="13"/>
  <c r="J182" i="13"/>
  <c r="I190" i="13"/>
  <c r="G81" i="11"/>
  <c r="F81" i="11"/>
  <c r="E81" i="11"/>
  <c r="D81" i="11"/>
  <c r="L81" i="11"/>
  <c r="K81" i="11"/>
  <c r="M81" i="11"/>
  <c r="J81" i="11"/>
  <c r="I81" i="11"/>
  <c r="H81" i="11"/>
  <c r="K83" i="11"/>
  <c r="J83" i="11"/>
  <c r="I83" i="11"/>
  <c r="H83" i="11"/>
  <c r="G83" i="11"/>
  <c r="F83" i="11"/>
  <c r="M83" i="11"/>
  <c r="E83" i="11"/>
  <c r="D83" i="11"/>
  <c r="L83" i="11"/>
  <c r="F84" i="11"/>
  <c r="G79" i="11"/>
  <c r="E79" i="11"/>
  <c r="M79" i="11"/>
  <c r="H79" i="11"/>
  <c r="F79" i="11"/>
  <c r="L79" i="11"/>
  <c r="K79" i="11"/>
  <c r="J79" i="11"/>
  <c r="I79" i="11"/>
  <c r="D79" i="11"/>
  <c r="G75" i="11"/>
  <c r="K75" i="11"/>
  <c r="J75" i="11"/>
  <c r="I75" i="11"/>
  <c r="F75" i="11"/>
  <c r="E75" i="11"/>
  <c r="D75" i="11"/>
  <c r="L75" i="11"/>
  <c r="M75" i="11"/>
  <c r="H75" i="11"/>
  <c r="I76" i="11"/>
  <c r="H76" i="11"/>
  <c r="G76" i="11"/>
  <c r="F76" i="11"/>
  <c r="E76" i="11"/>
  <c r="M76" i="11"/>
  <c r="L76" i="11"/>
  <c r="D76" i="11"/>
  <c r="J76" i="11"/>
  <c r="K76" i="11"/>
  <c r="E80" i="11"/>
  <c r="D80" i="11"/>
  <c r="H80" i="11"/>
  <c r="G80" i="11"/>
  <c r="M80" i="11"/>
  <c r="J80" i="11"/>
  <c r="L80" i="11"/>
  <c r="K80" i="11"/>
  <c r="F80" i="11"/>
  <c r="I80" i="11"/>
  <c r="M78" i="11"/>
  <c r="L78" i="11"/>
  <c r="F78" i="11"/>
  <c r="K78" i="11"/>
  <c r="E78" i="11"/>
  <c r="J78" i="11"/>
  <c r="I78" i="11"/>
  <c r="H78" i="11"/>
  <c r="G78" i="11"/>
  <c r="D78" i="11"/>
  <c r="I82" i="11"/>
  <c r="H82" i="11"/>
  <c r="G82" i="11"/>
  <c r="F82" i="11"/>
  <c r="K82" i="11"/>
  <c r="E82" i="11"/>
  <c r="D82" i="11"/>
  <c r="L82" i="11"/>
  <c r="M82" i="11"/>
  <c r="J82" i="11"/>
  <c r="K77" i="11"/>
  <c r="D77" i="11"/>
  <c r="J77" i="11"/>
  <c r="I77" i="11"/>
  <c r="H77" i="11"/>
  <c r="G77" i="11"/>
  <c r="M77" i="11"/>
  <c r="F77" i="11"/>
  <c r="E77" i="11"/>
  <c r="L77" i="11"/>
  <c r="G70" i="7"/>
  <c r="F75" i="7"/>
  <c r="G69" i="7"/>
  <c r="H71" i="7"/>
  <c r="E72" i="7"/>
  <c r="H70" i="7"/>
  <c r="D71" i="7"/>
  <c r="G74" i="7"/>
  <c r="H76" i="7"/>
  <c r="E70" i="7"/>
  <c r="D73" i="7"/>
  <c r="H73" i="7"/>
  <c r="H74" i="7"/>
  <c r="D72" i="7"/>
  <c r="E74" i="7"/>
  <c r="D70" i="7"/>
  <c r="E75" i="7"/>
  <c r="D76" i="7"/>
  <c r="E76" i="7"/>
  <c r="H69" i="7"/>
  <c r="G75" i="7"/>
  <c r="F72" i="7"/>
  <c r="H75" i="7"/>
  <c r="G73" i="7"/>
  <c r="F69" i="7"/>
  <c r="H72" i="7"/>
  <c r="F70" i="7"/>
  <c r="E71" i="7"/>
  <c r="E69" i="7"/>
  <c r="F76" i="7"/>
  <c r="G72" i="7"/>
  <c r="D74" i="7"/>
  <c r="G71" i="7"/>
  <c r="G68" i="7"/>
  <c r="D75" i="7"/>
  <c r="F71" i="7"/>
  <c r="H68" i="7"/>
  <c r="H45" i="7"/>
  <c r="F45" i="7"/>
  <c r="M69" i="11"/>
  <c r="M84" i="11" s="1"/>
  <c r="H17" i="10"/>
  <c r="H47" i="10" s="1"/>
  <c r="F17" i="10"/>
  <c r="F47" i="10" s="1"/>
  <c r="M14" i="10"/>
  <c r="M44" i="10" s="1"/>
  <c r="L17" i="10"/>
  <c r="L47" i="10" s="1"/>
  <c r="G17" i="7"/>
  <c r="I14" i="7"/>
  <c r="M13" i="10"/>
  <c r="M43" i="10" s="1"/>
  <c r="M11" i="10"/>
  <c r="M41" i="10" s="1"/>
  <c r="E17" i="10"/>
  <c r="E47" i="10" s="1"/>
  <c r="J8" i="10"/>
  <c r="I15" i="7"/>
  <c r="G29" i="7" s="1"/>
  <c r="F87" i="10"/>
  <c r="F161" i="10" s="1"/>
  <c r="G117" i="7"/>
  <c r="G191" i="7" s="1"/>
  <c r="K8" i="10"/>
  <c r="E8" i="7"/>
  <c r="G17" i="10"/>
  <c r="G47" i="10" s="1"/>
  <c r="F8" i="7"/>
  <c r="M10" i="10"/>
  <c r="M40" i="10" s="1"/>
  <c r="M16" i="10"/>
  <c r="M46" i="10" s="1"/>
  <c r="I10" i="7"/>
  <c r="G24" i="7" s="1"/>
  <c r="M9" i="10"/>
  <c r="M39" i="10" s="1"/>
  <c r="I13" i="7"/>
  <c r="D27" i="7" s="1"/>
  <c r="I12" i="7"/>
  <c r="F26" i="7" s="1"/>
  <c r="D8" i="10"/>
  <c r="D38" i="10" s="1"/>
  <c r="M15" i="10"/>
  <c r="M45" i="10" s="1"/>
  <c r="H17" i="7"/>
  <c r="I86" i="7"/>
  <c r="I160" i="7" s="1"/>
  <c r="M56" i="10"/>
  <c r="M130" i="10" s="1"/>
  <c r="I17" i="10"/>
  <c r="I47" i="10" s="1"/>
  <c r="I11" i="7"/>
  <c r="F25" i="7" s="1"/>
  <c r="M12" i="10"/>
  <c r="M42" i="10" s="1"/>
  <c r="I16" i="7"/>
  <c r="E30" i="7" s="1"/>
  <c r="H87" i="10"/>
  <c r="H161" i="10" s="1"/>
  <c r="D117" i="7"/>
  <c r="D191" i="7" s="1"/>
  <c r="D8" i="7"/>
  <c r="I9" i="7"/>
  <c r="G23" i="7" s="1"/>
  <c r="F19" i="9"/>
  <c r="J19" i="9"/>
  <c r="I19" i="9"/>
  <c r="O19" i="9"/>
  <c r="G19" i="9"/>
  <c r="L29" i="9"/>
  <c r="L60" i="9" s="1"/>
  <c r="P19" i="9"/>
  <c r="M19" i="9"/>
  <c r="D19" i="9"/>
  <c r="R19" i="9"/>
  <c r="O29" i="9"/>
  <c r="M29" i="9"/>
  <c r="R29" i="9"/>
  <c r="P29" i="9"/>
  <c r="D29" i="9"/>
  <c r="F29" i="9"/>
  <c r="I29" i="9"/>
  <c r="G29" i="9"/>
  <c r="L19" i="9"/>
  <c r="N60" i="9"/>
  <c r="Q60" i="9"/>
  <c r="K60" i="9"/>
  <c r="J17" i="10" l="1"/>
  <c r="J47" i="10" s="1"/>
  <c r="J38" i="10"/>
  <c r="E84" i="11"/>
  <c r="K17" i="10"/>
  <c r="K47" i="10" s="1"/>
  <c r="K38" i="10"/>
  <c r="F30" i="7"/>
  <c r="D30" i="7"/>
  <c r="L84" i="11"/>
  <c r="H84" i="11"/>
  <c r="I84" i="11"/>
  <c r="J84" i="11"/>
  <c r="K84" i="11"/>
  <c r="D84" i="11"/>
  <c r="G84" i="11"/>
  <c r="H24" i="7"/>
  <c r="E26" i="7"/>
  <c r="H29" i="7"/>
  <c r="E23" i="7"/>
  <c r="H27" i="7"/>
  <c r="D29" i="7"/>
  <c r="G27" i="7"/>
  <c r="E29" i="7"/>
  <c r="I71" i="7"/>
  <c r="I25" i="7"/>
  <c r="D24" i="7"/>
  <c r="E24" i="7"/>
  <c r="H25" i="7"/>
  <c r="I74" i="7"/>
  <c r="I28" i="7"/>
  <c r="F28" i="7"/>
  <c r="H30" i="7"/>
  <c r="G25" i="7"/>
  <c r="E25" i="7"/>
  <c r="E28" i="7"/>
  <c r="I69" i="7"/>
  <c r="I23" i="7"/>
  <c r="D23" i="7"/>
  <c r="D68" i="7"/>
  <c r="I72" i="7"/>
  <c r="I26" i="7"/>
  <c r="I75" i="7"/>
  <c r="I29" i="7"/>
  <c r="D28" i="7"/>
  <c r="H26" i="7"/>
  <c r="H23" i="7"/>
  <c r="D26" i="7"/>
  <c r="G28" i="7"/>
  <c r="F29" i="7"/>
  <c r="I73" i="7"/>
  <c r="I27" i="7"/>
  <c r="E27" i="7"/>
  <c r="F27" i="7"/>
  <c r="F24" i="7"/>
  <c r="G26" i="7"/>
  <c r="F23" i="7"/>
  <c r="H28" i="7"/>
  <c r="D25" i="7"/>
  <c r="I76" i="7"/>
  <c r="I30" i="7"/>
  <c r="G30" i="7"/>
  <c r="I70" i="7"/>
  <c r="I24" i="7"/>
  <c r="F17" i="7"/>
  <c r="F68" i="7"/>
  <c r="E17" i="7"/>
  <c r="E68" i="7"/>
  <c r="F47" i="7"/>
  <c r="H77" i="7"/>
  <c r="H47" i="7"/>
  <c r="G45" i="7"/>
  <c r="E45" i="7"/>
  <c r="D45" i="7"/>
  <c r="I117" i="7"/>
  <c r="I191" i="7" s="1"/>
  <c r="M87" i="10"/>
  <c r="M161" i="10" s="1"/>
  <c r="M8" i="10"/>
  <c r="M38" i="10" s="1"/>
  <c r="D17" i="10"/>
  <c r="I8" i="7"/>
  <c r="E22" i="7" s="1"/>
  <c r="D17" i="7"/>
  <c r="O60" i="9"/>
  <c r="R60" i="9"/>
  <c r="D60" i="9"/>
  <c r="F60" i="9"/>
  <c r="P60" i="9"/>
  <c r="G60" i="9"/>
  <c r="I60" i="9"/>
  <c r="M60" i="9"/>
  <c r="J60" i="9"/>
  <c r="AE17" i="1"/>
  <c r="AF17" i="1" s="1"/>
  <c r="Y12" i="1"/>
  <c r="Z12" i="1" s="1"/>
  <c r="AE58" i="1"/>
  <c r="AF58" i="1" s="1"/>
  <c r="AE57" i="1"/>
  <c r="AF57" i="1" s="1"/>
  <c r="AE54" i="1"/>
  <c r="AF54" i="1" s="1"/>
  <c r="AE53" i="1"/>
  <c r="AF53" i="1" s="1"/>
  <c r="AE50" i="1"/>
  <c r="AF50" i="1" s="1"/>
  <c r="AE49" i="1"/>
  <c r="AF49" i="1" s="1"/>
  <c r="AE46" i="1"/>
  <c r="AF46" i="1" s="1"/>
  <c r="AE45" i="1"/>
  <c r="AF45" i="1" s="1"/>
  <c r="AE42" i="1"/>
  <c r="AF42" i="1" s="1"/>
  <c r="AE41" i="1"/>
  <c r="AF41" i="1" s="1"/>
  <c r="AE38" i="1"/>
  <c r="AF38" i="1" s="1"/>
  <c r="AE37" i="1"/>
  <c r="AF37" i="1" s="1"/>
  <c r="AE35" i="1"/>
  <c r="AF35" i="1" s="1"/>
  <c r="AE34" i="1"/>
  <c r="AF34" i="1" s="1"/>
  <c r="AE33" i="1"/>
  <c r="AF33" i="1" s="1"/>
  <c r="AE31" i="1"/>
  <c r="AF31" i="1" s="1"/>
  <c r="AE30" i="1"/>
  <c r="AF30" i="1" s="1"/>
  <c r="M17" i="10" l="1"/>
  <c r="M47" i="10" s="1"/>
  <c r="D47" i="10"/>
  <c r="F77" i="7"/>
  <c r="I68" i="7"/>
  <c r="I22" i="7"/>
  <c r="H22" i="7"/>
  <c r="G22" i="7"/>
  <c r="D22" i="7"/>
  <c r="F22" i="7"/>
  <c r="I17" i="7"/>
  <c r="E77" i="7"/>
  <c r="E47" i="7"/>
  <c r="G77" i="7"/>
  <c r="G47" i="7"/>
  <c r="D77" i="7"/>
  <c r="D47" i="7"/>
  <c r="I45" i="7"/>
  <c r="AE13" i="1"/>
  <c r="AF13" i="1" s="1"/>
  <c r="AG13" i="1" s="1"/>
  <c r="Y14" i="1"/>
  <c r="Z14" i="1" s="1"/>
  <c r="V14" i="1" s="1"/>
  <c r="Y18" i="1"/>
  <c r="Z18" i="1" s="1"/>
  <c r="AA18" i="1" s="1"/>
  <c r="Y33" i="1"/>
  <c r="Z33" i="1" s="1"/>
  <c r="AA33" i="1" s="1"/>
  <c r="Y37" i="1"/>
  <c r="Z37" i="1" s="1"/>
  <c r="AA37" i="1" s="1"/>
  <c r="Y41" i="1"/>
  <c r="Z41" i="1" s="1"/>
  <c r="AA41" i="1" s="1"/>
  <c r="Y45" i="1"/>
  <c r="Z45" i="1" s="1"/>
  <c r="AA45" i="1" s="1"/>
  <c r="Y49" i="1"/>
  <c r="Z49" i="1" s="1"/>
  <c r="AA49" i="1" s="1"/>
  <c r="Y53" i="1"/>
  <c r="Z53" i="1" s="1"/>
  <c r="AA53" i="1" s="1"/>
  <c r="Y57" i="1"/>
  <c r="Z57" i="1" s="1"/>
  <c r="AA57" i="1" s="1"/>
  <c r="M12" i="1"/>
  <c r="N12" i="1" s="1"/>
  <c r="J12" i="1" s="1"/>
  <c r="M16" i="1"/>
  <c r="N16" i="1" s="1"/>
  <c r="J16" i="1" s="1"/>
  <c r="S10" i="1"/>
  <c r="T10" i="1" s="1"/>
  <c r="S14" i="1"/>
  <c r="T14" i="1" s="1"/>
  <c r="U14" i="1" s="1"/>
  <c r="S18" i="1"/>
  <c r="T18" i="1" s="1"/>
  <c r="P18" i="1" s="1"/>
  <c r="S32" i="1"/>
  <c r="T32" i="1" s="1"/>
  <c r="P32" i="1" s="1"/>
  <c r="S36" i="1"/>
  <c r="T36" i="1" s="1"/>
  <c r="P36" i="1" s="1"/>
  <c r="S40" i="1"/>
  <c r="T40" i="1" s="1"/>
  <c r="U40" i="1" s="1"/>
  <c r="S44" i="1"/>
  <c r="T44" i="1" s="1"/>
  <c r="U44" i="1" s="1"/>
  <c r="S48" i="1"/>
  <c r="T48" i="1" s="1"/>
  <c r="U48" i="1" s="1"/>
  <c r="S56" i="1"/>
  <c r="T56" i="1" s="1"/>
  <c r="U56" i="1" s="1"/>
  <c r="Y16" i="1"/>
  <c r="Z16" i="1" s="1"/>
  <c r="AA16" i="1" s="1"/>
  <c r="Y31" i="1"/>
  <c r="Z31" i="1" s="1"/>
  <c r="AA31" i="1" s="1"/>
  <c r="Y35" i="1"/>
  <c r="Z35" i="1" s="1"/>
  <c r="V35" i="1" s="1"/>
  <c r="Y39" i="1"/>
  <c r="Z39" i="1" s="1"/>
  <c r="AA39" i="1" s="1"/>
  <c r="Y43" i="1"/>
  <c r="Z43" i="1" s="1"/>
  <c r="AA43" i="1" s="1"/>
  <c r="Y47" i="1"/>
  <c r="Z47" i="1" s="1"/>
  <c r="AA47" i="1" s="1"/>
  <c r="Y51" i="1"/>
  <c r="Z51" i="1" s="1"/>
  <c r="AA51" i="1" s="1"/>
  <c r="Y55" i="1"/>
  <c r="Z55" i="1" s="1"/>
  <c r="AA55" i="1" s="1"/>
  <c r="Y59" i="1"/>
  <c r="Z59" i="1" s="1"/>
  <c r="V59" i="1" s="1"/>
  <c r="S43" i="1"/>
  <c r="T43" i="1" s="1"/>
  <c r="U43" i="1" s="1"/>
  <c r="S47" i="1"/>
  <c r="T47" i="1" s="1"/>
  <c r="P47" i="1" s="1"/>
  <c r="S51" i="1"/>
  <c r="T51" i="1" s="1"/>
  <c r="U51" i="1" s="1"/>
  <c r="S55" i="1"/>
  <c r="T55" i="1" s="1"/>
  <c r="P55" i="1" s="1"/>
  <c r="S59" i="1"/>
  <c r="T59" i="1" s="1"/>
  <c r="P59" i="1" s="1"/>
  <c r="S52" i="1"/>
  <c r="T52" i="1" s="1"/>
  <c r="P52" i="1" s="1"/>
  <c r="S31" i="1"/>
  <c r="T31" i="1" s="1"/>
  <c r="U31" i="1" s="1"/>
  <c r="S35" i="1"/>
  <c r="T35" i="1" s="1"/>
  <c r="P35" i="1" s="1"/>
  <c r="S39" i="1"/>
  <c r="T39" i="1" s="1"/>
  <c r="P39" i="1" s="1"/>
  <c r="AG33" i="1"/>
  <c r="AB33" i="1"/>
  <c r="AG30" i="1"/>
  <c r="AB30" i="1"/>
  <c r="AG34" i="1"/>
  <c r="AB34" i="1"/>
  <c r="AG38" i="1"/>
  <c r="AB38" i="1"/>
  <c r="AG42" i="1"/>
  <c r="AB42" i="1"/>
  <c r="AG46" i="1"/>
  <c r="AB46" i="1"/>
  <c r="AG50" i="1"/>
  <c r="AB50" i="1"/>
  <c r="AG54" i="1"/>
  <c r="AB54" i="1"/>
  <c r="AG58" i="1"/>
  <c r="AB58" i="1"/>
  <c r="AG17" i="1"/>
  <c r="AB17" i="1"/>
  <c r="AG31" i="1"/>
  <c r="AB31" i="1"/>
  <c r="AG35" i="1"/>
  <c r="AB35" i="1"/>
  <c r="AE39" i="1"/>
  <c r="AF39" i="1" s="1"/>
  <c r="AE43" i="1"/>
  <c r="AF43" i="1" s="1"/>
  <c r="AE47" i="1"/>
  <c r="AF47" i="1" s="1"/>
  <c r="AE51" i="1"/>
  <c r="AF51" i="1" s="1"/>
  <c r="AE55" i="1"/>
  <c r="AF55" i="1" s="1"/>
  <c r="AE59" i="1"/>
  <c r="AF59" i="1" s="1"/>
  <c r="AE10" i="1"/>
  <c r="AE14" i="1"/>
  <c r="AF14" i="1" s="1"/>
  <c r="AE18" i="1"/>
  <c r="AF18" i="1" s="1"/>
  <c r="AE32" i="1"/>
  <c r="AF32" i="1" s="1"/>
  <c r="AE36" i="1"/>
  <c r="AF36" i="1" s="1"/>
  <c r="AE40" i="1"/>
  <c r="AF40" i="1" s="1"/>
  <c r="AE44" i="1"/>
  <c r="AF44" i="1" s="1"/>
  <c r="AE48" i="1"/>
  <c r="AF48" i="1" s="1"/>
  <c r="AE52" i="1"/>
  <c r="AF52" i="1" s="1"/>
  <c r="AE56" i="1"/>
  <c r="AF56" i="1" s="1"/>
  <c r="AE11" i="1"/>
  <c r="AF11" i="1" s="1"/>
  <c r="AE15" i="1"/>
  <c r="AF15" i="1" s="1"/>
  <c r="AG37" i="1"/>
  <c r="AB37" i="1"/>
  <c r="AG41" i="1"/>
  <c r="AB41" i="1"/>
  <c r="AG45" i="1"/>
  <c r="AB45" i="1"/>
  <c r="AG49" i="1"/>
  <c r="AB49" i="1"/>
  <c r="AG53" i="1"/>
  <c r="AB53" i="1"/>
  <c r="AG57" i="1"/>
  <c r="AB57" i="1"/>
  <c r="AE12" i="1"/>
  <c r="AF12" i="1" s="1"/>
  <c r="AE16" i="1"/>
  <c r="AF16" i="1" s="1"/>
  <c r="S13" i="1"/>
  <c r="T13" i="1" s="1"/>
  <c r="P13" i="1" s="1"/>
  <c r="S17" i="1"/>
  <c r="T17" i="1" s="1"/>
  <c r="P17" i="1" s="1"/>
  <c r="Y11" i="1"/>
  <c r="Z11" i="1" s="1"/>
  <c r="Y15" i="1"/>
  <c r="Z15" i="1" s="1"/>
  <c r="Y30" i="1"/>
  <c r="Z30" i="1" s="1"/>
  <c r="Y34" i="1"/>
  <c r="Z34" i="1" s="1"/>
  <c r="Y38" i="1"/>
  <c r="Z38" i="1" s="1"/>
  <c r="Y42" i="1"/>
  <c r="Z42" i="1" s="1"/>
  <c r="Y46" i="1"/>
  <c r="Z46" i="1" s="1"/>
  <c r="Y50" i="1"/>
  <c r="Z50" i="1" s="1"/>
  <c r="Y54" i="1"/>
  <c r="Z54" i="1" s="1"/>
  <c r="Y58" i="1"/>
  <c r="Z58" i="1" s="1"/>
  <c r="AA12" i="1"/>
  <c r="V12" i="1"/>
  <c r="S37" i="1"/>
  <c r="T37" i="1" s="1"/>
  <c r="P37" i="1" s="1"/>
  <c r="S41" i="1"/>
  <c r="T41" i="1" s="1"/>
  <c r="U41" i="1" s="1"/>
  <c r="S45" i="1"/>
  <c r="T45" i="1" s="1"/>
  <c r="U45" i="1" s="1"/>
  <c r="S49" i="1"/>
  <c r="T49" i="1" s="1"/>
  <c r="U49" i="1" s="1"/>
  <c r="S53" i="1"/>
  <c r="T53" i="1" s="1"/>
  <c r="P53" i="1" s="1"/>
  <c r="S57" i="1"/>
  <c r="T57" i="1" s="1"/>
  <c r="U57" i="1" s="1"/>
  <c r="Y13" i="1"/>
  <c r="Z13" i="1" s="1"/>
  <c r="Y17" i="1"/>
  <c r="Z17" i="1" s="1"/>
  <c r="Y32" i="1"/>
  <c r="Z32" i="1" s="1"/>
  <c r="Y36" i="1"/>
  <c r="Z36" i="1" s="1"/>
  <c r="Y40" i="1"/>
  <c r="Z40" i="1" s="1"/>
  <c r="Y44" i="1"/>
  <c r="Z44" i="1" s="1"/>
  <c r="Y48" i="1"/>
  <c r="Z48" i="1" s="1"/>
  <c r="Y52" i="1"/>
  <c r="Z52" i="1" s="1"/>
  <c r="Y56" i="1"/>
  <c r="Z56" i="1" s="1"/>
  <c r="S38" i="1"/>
  <c r="T38" i="1" s="1"/>
  <c r="P38" i="1" s="1"/>
  <c r="S42" i="1"/>
  <c r="T42" i="1" s="1"/>
  <c r="U42" i="1" s="1"/>
  <c r="S46" i="1"/>
  <c r="T46" i="1" s="1"/>
  <c r="U46" i="1" s="1"/>
  <c r="S50" i="1"/>
  <c r="T50" i="1" s="1"/>
  <c r="U50" i="1" s="1"/>
  <c r="S54" i="1"/>
  <c r="T54" i="1" s="1"/>
  <c r="P54" i="1" s="1"/>
  <c r="S58" i="1"/>
  <c r="T58" i="1" s="1"/>
  <c r="U58" i="1" s="1"/>
  <c r="Y10" i="1"/>
  <c r="AA14" i="1"/>
  <c r="V49" i="1"/>
  <c r="V57" i="1"/>
  <c r="U17" i="1"/>
  <c r="U18" i="1"/>
  <c r="P44" i="1"/>
  <c r="S11" i="1"/>
  <c r="T11" i="1" s="1"/>
  <c r="S15" i="1"/>
  <c r="T15" i="1" s="1"/>
  <c r="S33" i="1"/>
  <c r="T33" i="1" s="1"/>
  <c r="S12" i="1"/>
  <c r="T12" i="1" s="1"/>
  <c r="S16" i="1"/>
  <c r="T16" i="1" s="1"/>
  <c r="S30" i="1"/>
  <c r="T30" i="1" s="1"/>
  <c r="S34" i="1"/>
  <c r="T34" i="1" s="1"/>
  <c r="M32" i="1"/>
  <c r="N32" i="1" s="1"/>
  <c r="O32" i="1" s="1"/>
  <c r="M36" i="1"/>
  <c r="N36" i="1" s="1"/>
  <c r="J36" i="1" s="1"/>
  <c r="M40" i="1"/>
  <c r="N40" i="1" s="1"/>
  <c r="O40" i="1" s="1"/>
  <c r="M44" i="1"/>
  <c r="N44" i="1" s="1"/>
  <c r="J44" i="1" s="1"/>
  <c r="M48" i="1"/>
  <c r="N48" i="1" s="1"/>
  <c r="O48" i="1" s="1"/>
  <c r="M52" i="1"/>
  <c r="N52" i="1" s="1"/>
  <c r="O52" i="1" s="1"/>
  <c r="M56" i="1"/>
  <c r="N56" i="1" s="1"/>
  <c r="O56" i="1" s="1"/>
  <c r="M11" i="1"/>
  <c r="N11" i="1" s="1"/>
  <c r="M15" i="1"/>
  <c r="N15" i="1" s="1"/>
  <c r="M33" i="1"/>
  <c r="N33" i="1" s="1"/>
  <c r="M37" i="1"/>
  <c r="N37" i="1" s="1"/>
  <c r="M41" i="1"/>
  <c r="N41" i="1" s="1"/>
  <c r="M45" i="1"/>
  <c r="N45" i="1" s="1"/>
  <c r="M49" i="1"/>
  <c r="N49" i="1" s="1"/>
  <c r="M53" i="1"/>
  <c r="N53" i="1" s="1"/>
  <c r="M57" i="1"/>
  <c r="N57" i="1" s="1"/>
  <c r="M30" i="1"/>
  <c r="N30" i="1" s="1"/>
  <c r="M34" i="1"/>
  <c r="N34" i="1" s="1"/>
  <c r="M38" i="1"/>
  <c r="N38" i="1" s="1"/>
  <c r="M42" i="1"/>
  <c r="N42" i="1" s="1"/>
  <c r="M46" i="1"/>
  <c r="N46" i="1" s="1"/>
  <c r="M50" i="1"/>
  <c r="N50" i="1" s="1"/>
  <c r="M54" i="1"/>
  <c r="N54" i="1" s="1"/>
  <c r="M58" i="1"/>
  <c r="N58" i="1" s="1"/>
  <c r="M13" i="1"/>
  <c r="N13" i="1" s="1"/>
  <c r="M17" i="1"/>
  <c r="N17" i="1" s="1"/>
  <c r="M31" i="1"/>
  <c r="N31" i="1" s="1"/>
  <c r="M35" i="1"/>
  <c r="N35" i="1" s="1"/>
  <c r="M39" i="1"/>
  <c r="N39" i="1" s="1"/>
  <c r="M43" i="1"/>
  <c r="N43" i="1" s="1"/>
  <c r="M47" i="1"/>
  <c r="N47" i="1" s="1"/>
  <c r="M51" i="1"/>
  <c r="N51" i="1" s="1"/>
  <c r="M55" i="1"/>
  <c r="N55" i="1" s="1"/>
  <c r="M59" i="1"/>
  <c r="N59" i="1" s="1"/>
  <c r="M10" i="1"/>
  <c r="N10" i="1" s="1"/>
  <c r="M14" i="1"/>
  <c r="N14" i="1" s="1"/>
  <c r="M18" i="1"/>
  <c r="N18" i="1" s="1"/>
  <c r="L60" i="1"/>
  <c r="G45" i="1"/>
  <c r="H45" i="1" s="1"/>
  <c r="G38" i="1"/>
  <c r="H38" i="1" s="1"/>
  <c r="G54" i="1"/>
  <c r="H54" i="1" s="1"/>
  <c r="G43" i="1"/>
  <c r="H43" i="1" s="1"/>
  <c r="G36" i="1"/>
  <c r="H36" i="1" s="1"/>
  <c r="G40" i="1"/>
  <c r="H40" i="1" s="1"/>
  <c r="G44" i="1"/>
  <c r="H44" i="1" s="1"/>
  <c r="G48" i="1"/>
  <c r="H48" i="1" s="1"/>
  <c r="G52" i="1"/>
  <c r="H52" i="1" s="1"/>
  <c r="G56" i="1"/>
  <c r="H56" i="1" s="1"/>
  <c r="G30" i="1"/>
  <c r="H30" i="1" s="1"/>
  <c r="G31" i="1"/>
  <c r="H31" i="1" s="1"/>
  <c r="G41" i="1"/>
  <c r="H41" i="1" s="1"/>
  <c r="G57" i="1"/>
  <c r="H57" i="1" s="1"/>
  <c r="G34" i="1"/>
  <c r="H34" i="1" s="1"/>
  <c r="G46" i="1"/>
  <c r="H46" i="1" s="1"/>
  <c r="G58" i="1"/>
  <c r="H58" i="1" s="1"/>
  <c r="G32" i="1"/>
  <c r="H32" i="1" s="1"/>
  <c r="G37" i="1"/>
  <c r="H37" i="1" s="1"/>
  <c r="G49" i="1"/>
  <c r="H49" i="1" s="1"/>
  <c r="G53" i="1"/>
  <c r="H53" i="1" s="1"/>
  <c r="G42" i="1"/>
  <c r="H42" i="1" s="1"/>
  <c r="G50" i="1"/>
  <c r="H50" i="1" s="1"/>
  <c r="G35" i="1"/>
  <c r="H35" i="1" s="1"/>
  <c r="G39" i="1"/>
  <c r="H39" i="1" s="1"/>
  <c r="G47" i="1"/>
  <c r="H47" i="1" s="1"/>
  <c r="G51" i="1"/>
  <c r="H51" i="1" s="1"/>
  <c r="G55" i="1"/>
  <c r="H55" i="1" s="1"/>
  <c r="G59" i="1"/>
  <c r="H59" i="1" s="1"/>
  <c r="G33" i="1"/>
  <c r="H33" i="1" s="1"/>
  <c r="G11" i="1"/>
  <c r="H11" i="1" s="1"/>
  <c r="I11" i="1" s="1"/>
  <c r="G15" i="1"/>
  <c r="H15" i="1" s="1"/>
  <c r="I15" i="1" s="1"/>
  <c r="G12" i="1"/>
  <c r="H12" i="1" s="1"/>
  <c r="I12" i="1" s="1"/>
  <c r="G16" i="1"/>
  <c r="H16" i="1" s="1"/>
  <c r="I16" i="1" s="1"/>
  <c r="G13" i="1"/>
  <c r="H13" i="1" s="1"/>
  <c r="I13" i="1" s="1"/>
  <c r="G17" i="1"/>
  <c r="H17" i="1" s="1"/>
  <c r="I17" i="1" s="1"/>
  <c r="AD19" i="1"/>
  <c r="G10" i="1"/>
  <c r="H10" i="1" s="1"/>
  <c r="G14" i="1"/>
  <c r="G18" i="1"/>
  <c r="H18" i="1" s="1"/>
  <c r="I18" i="1" s="1"/>
  <c r="AD60" i="1"/>
  <c r="X60" i="1"/>
  <c r="F60" i="1"/>
  <c r="X19" i="1"/>
  <c r="R19" i="1"/>
  <c r="R60" i="1"/>
  <c r="L19" i="1"/>
  <c r="K60" i="1"/>
  <c r="AC19" i="1"/>
  <c r="W19" i="1"/>
  <c r="K19" i="1"/>
  <c r="V41" i="1" l="1"/>
  <c r="V18" i="1"/>
  <c r="I61" i="7"/>
  <c r="H61" i="7"/>
  <c r="F61" i="7"/>
  <c r="E61" i="7"/>
  <c r="D61" i="7"/>
  <c r="G61" i="7"/>
  <c r="I31" i="7"/>
  <c r="G31" i="7"/>
  <c r="H31" i="7"/>
  <c r="D31" i="7"/>
  <c r="E31" i="7"/>
  <c r="F31" i="7"/>
  <c r="I77" i="7"/>
  <c r="I47" i="7"/>
  <c r="P43" i="1"/>
  <c r="AB13" i="1"/>
  <c r="O16" i="1"/>
  <c r="O12" i="1"/>
  <c r="U59" i="1"/>
  <c r="V45" i="1"/>
  <c r="V33" i="1"/>
  <c r="U32" i="1"/>
  <c r="U47" i="1"/>
  <c r="U52" i="1"/>
  <c r="U36" i="1"/>
  <c r="U39" i="1"/>
  <c r="V53" i="1"/>
  <c r="V37" i="1"/>
  <c r="V51" i="1"/>
  <c r="P48" i="1"/>
  <c r="AA35" i="1"/>
  <c r="P57" i="1"/>
  <c r="U37" i="1"/>
  <c r="P51" i="1"/>
  <c r="P56" i="1"/>
  <c r="V43" i="1"/>
  <c r="U54" i="1"/>
  <c r="P40" i="1"/>
  <c r="AA59" i="1"/>
  <c r="U13" i="1"/>
  <c r="V55" i="1"/>
  <c r="P41" i="1"/>
  <c r="P14" i="1"/>
  <c r="V39" i="1"/>
  <c r="V16" i="1"/>
  <c r="P31" i="1"/>
  <c r="V47" i="1"/>
  <c r="V31" i="1"/>
  <c r="P50" i="1"/>
  <c r="P46" i="1"/>
  <c r="U55" i="1"/>
  <c r="U53" i="1"/>
  <c r="U35" i="1"/>
  <c r="U38" i="1"/>
  <c r="AG39" i="1"/>
  <c r="AB39" i="1"/>
  <c r="AG56" i="1"/>
  <c r="AB56" i="1"/>
  <c r="AG44" i="1"/>
  <c r="AB44" i="1"/>
  <c r="AG32" i="1"/>
  <c r="AB32" i="1"/>
  <c r="AG47" i="1"/>
  <c r="AB47" i="1"/>
  <c r="AG48" i="1"/>
  <c r="AB48" i="1"/>
  <c r="AG51" i="1"/>
  <c r="AB51" i="1"/>
  <c r="AB15" i="1"/>
  <c r="AG15" i="1"/>
  <c r="AB40" i="1"/>
  <c r="AG40" i="1"/>
  <c r="AG14" i="1"/>
  <c r="AB14" i="1"/>
  <c r="AG16" i="1"/>
  <c r="AB16" i="1"/>
  <c r="AG18" i="1"/>
  <c r="AB18" i="1"/>
  <c r="AE19" i="1"/>
  <c r="AG55" i="1"/>
  <c r="AB55" i="1"/>
  <c r="O36" i="1"/>
  <c r="P45" i="1"/>
  <c r="AG12" i="1"/>
  <c r="AB12" i="1"/>
  <c r="AF10" i="1"/>
  <c r="AC60" i="1"/>
  <c r="AE29" i="1"/>
  <c r="AE60" i="1" s="1"/>
  <c r="AB11" i="1"/>
  <c r="AG11" i="1"/>
  <c r="AG52" i="1"/>
  <c r="AB52" i="1"/>
  <c r="AB36" i="1"/>
  <c r="AG36" i="1"/>
  <c r="AG59" i="1"/>
  <c r="AB59" i="1"/>
  <c r="AG43" i="1"/>
  <c r="AB43" i="1"/>
  <c r="O44" i="1"/>
  <c r="P58" i="1"/>
  <c r="Y19" i="1"/>
  <c r="P49" i="1"/>
  <c r="P42" i="1"/>
  <c r="AA30" i="1"/>
  <c r="V30" i="1"/>
  <c r="AA52" i="1"/>
  <c r="V52" i="1"/>
  <c r="AA36" i="1"/>
  <c r="V36" i="1"/>
  <c r="AA58" i="1"/>
  <c r="V58" i="1"/>
  <c r="AA42" i="1"/>
  <c r="V42" i="1"/>
  <c r="AA11" i="1"/>
  <c r="V11" i="1"/>
  <c r="AA56" i="1"/>
  <c r="V56" i="1"/>
  <c r="AA46" i="1"/>
  <c r="V46" i="1"/>
  <c r="AA48" i="1"/>
  <c r="V48" i="1"/>
  <c r="AA32" i="1"/>
  <c r="V32" i="1"/>
  <c r="AA54" i="1"/>
  <c r="V54" i="1"/>
  <c r="AA38" i="1"/>
  <c r="V38" i="1"/>
  <c r="AA40" i="1"/>
  <c r="V40" i="1"/>
  <c r="AA44" i="1"/>
  <c r="V44" i="1"/>
  <c r="AA50" i="1"/>
  <c r="V50" i="1"/>
  <c r="AA34" i="1"/>
  <c r="V34" i="1"/>
  <c r="W60" i="1"/>
  <c r="Y29" i="1"/>
  <c r="Z29" i="1" s="1"/>
  <c r="J32" i="1"/>
  <c r="AA17" i="1"/>
  <c r="V17" i="1"/>
  <c r="AA15" i="1"/>
  <c r="V15" i="1"/>
  <c r="J48" i="1"/>
  <c r="S19" i="1"/>
  <c r="Z10" i="1"/>
  <c r="AA13" i="1"/>
  <c r="V13" i="1"/>
  <c r="Q60" i="1"/>
  <c r="S29" i="1"/>
  <c r="S60" i="1" s="1"/>
  <c r="U30" i="1"/>
  <c r="P30" i="1"/>
  <c r="J52" i="1"/>
  <c r="P16" i="1"/>
  <c r="U16" i="1"/>
  <c r="U15" i="1"/>
  <c r="P15" i="1"/>
  <c r="P33" i="1"/>
  <c r="U33" i="1"/>
  <c r="P10" i="1"/>
  <c r="U10" i="1"/>
  <c r="U34" i="1"/>
  <c r="P34" i="1"/>
  <c r="P12" i="1"/>
  <c r="U12" i="1"/>
  <c r="U11" i="1"/>
  <c r="P11" i="1"/>
  <c r="J56" i="1"/>
  <c r="J40" i="1"/>
  <c r="J43" i="1"/>
  <c r="O43" i="1"/>
  <c r="O49" i="1"/>
  <c r="J49" i="1"/>
  <c r="J55" i="1"/>
  <c r="O55" i="1"/>
  <c r="J39" i="1"/>
  <c r="O39" i="1"/>
  <c r="O57" i="1"/>
  <c r="J57" i="1"/>
  <c r="J15" i="1"/>
  <c r="O15" i="1"/>
  <c r="J51" i="1"/>
  <c r="O51" i="1"/>
  <c r="J35" i="1"/>
  <c r="O35" i="1"/>
  <c r="J47" i="1"/>
  <c r="O47" i="1"/>
  <c r="J31" i="1"/>
  <c r="O31" i="1"/>
  <c r="O13" i="1"/>
  <c r="J13" i="1"/>
  <c r="J50" i="1"/>
  <c r="O50" i="1"/>
  <c r="J11" i="1"/>
  <c r="O11" i="1"/>
  <c r="M19" i="1"/>
  <c r="J46" i="1"/>
  <c r="O46" i="1"/>
  <c r="J30" i="1"/>
  <c r="O30" i="1"/>
  <c r="O10" i="1"/>
  <c r="J10" i="1"/>
  <c r="O41" i="1"/>
  <c r="J41" i="1"/>
  <c r="O18" i="1"/>
  <c r="J18" i="1"/>
  <c r="J59" i="1"/>
  <c r="O59" i="1"/>
  <c r="J17" i="1"/>
  <c r="O17" i="1"/>
  <c r="J58" i="1"/>
  <c r="O58" i="1"/>
  <c r="J42" i="1"/>
  <c r="O42" i="1"/>
  <c r="O53" i="1"/>
  <c r="J53" i="1"/>
  <c r="O45" i="1"/>
  <c r="J45" i="1"/>
  <c r="O37" i="1"/>
  <c r="J37" i="1"/>
  <c r="J34" i="1"/>
  <c r="O34" i="1"/>
  <c r="O33" i="1"/>
  <c r="J33" i="1"/>
  <c r="O14" i="1"/>
  <c r="J14" i="1"/>
  <c r="J54" i="1"/>
  <c r="O54" i="1"/>
  <c r="J38" i="1"/>
  <c r="O38" i="1"/>
  <c r="M29" i="1"/>
  <c r="N29" i="1" s="1"/>
  <c r="I59" i="1"/>
  <c r="D59" i="1"/>
  <c r="D39" i="1"/>
  <c r="I39" i="1"/>
  <c r="I53" i="1"/>
  <c r="D53" i="1"/>
  <c r="I57" i="1"/>
  <c r="D57" i="1"/>
  <c r="I30" i="1"/>
  <c r="D30" i="1"/>
  <c r="I52" i="1"/>
  <c r="D52" i="1"/>
  <c r="I54" i="1"/>
  <c r="D54" i="1"/>
  <c r="D55" i="1"/>
  <c r="I55" i="1"/>
  <c r="I35" i="1"/>
  <c r="D35" i="1"/>
  <c r="I49" i="1"/>
  <c r="D49" i="1"/>
  <c r="I58" i="1"/>
  <c r="D58" i="1"/>
  <c r="I41" i="1"/>
  <c r="D41" i="1"/>
  <c r="I38" i="1"/>
  <c r="D38" i="1"/>
  <c r="I33" i="1"/>
  <c r="D33" i="1"/>
  <c r="I51" i="1"/>
  <c r="D51" i="1"/>
  <c r="I50" i="1"/>
  <c r="D50" i="1"/>
  <c r="I37" i="1"/>
  <c r="D37" i="1"/>
  <c r="I46" i="1"/>
  <c r="D46" i="1"/>
  <c r="I31" i="1"/>
  <c r="D31" i="1"/>
  <c r="I36" i="1"/>
  <c r="D36" i="1"/>
  <c r="I45" i="1"/>
  <c r="D45" i="1"/>
  <c r="D47" i="1"/>
  <c r="I47" i="1"/>
  <c r="I42" i="1"/>
  <c r="D42" i="1"/>
  <c r="I32" i="1"/>
  <c r="D32" i="1"/>
  <c r="I34" i="1"/>
  <c r="D34" i="1"/>
  <c r="I44" i="1"/>
  <c r="D44" i="1"/>
  <c r="I43" i="1"/>
  <c r="D43" i="1"/>
  <c r="I56" i="1"/>
  <c r="D56" i="1"/>
  <c r="I40" i="1"/>
  <c r="D40" i="1"/>
  <c r="E60" i="1"/>
  <c r="G29" i="1"/>
  <c r="G60" i="1" s="1"/>
  <c r="I48" i="1"/>
  <c r="D48" i="1"/>
  <c r="I10" i="1"/>
  <c r="D10" i="1"/>
  <c r="D17" i="1"/>
  <c r="D16" i="1"/>
  <c r="D15" i="1"/>
  <c r="D18" i="1"/>
  <c r="H14" i="1"/>
  <c r="I14" i="1" s="1"/>
  <c r="D13" i="1"/>
  <c r="D12" i="1"/>
  <c r="D11" i="1"/>
  <c r="G19" i="1"/>
  <c r="Q19" i="1"/>
  <c r="I63" i="7" l="1"/>
  <c r="H63" i="7"/>
  <c r="F63" i="7"/>
  <c r="G63" i="7"/>
  <c r="D63" i="7"/>
  <c r="E63" i="7"/>
  <c r="AG10" i="1"/>
  <c r="AG19" i="1" s="1"/>
  <c r="AB10" i="1"/>
  <c r="AB19" i="1" s="1"/>
  <c r="AF29" i="1"/>
  <c r="AA10" i="1"/>
  <c r="AA19" i="1" s="1"/>
  <c r="V10" i="1"/>
  <c r="V19" i="1" s="1"/>
  <c r="AA29" i="1"/>
  <c r="AA60" i="1" s="1"/>
  <c r="V29" i="1"/>
  <c r="V60" i="1" s="1"/>
  <c r="T29" i="1"/>
  <c r="U19" i="1"/>
  <c r="P19" i="1"/>
  <c r="O19" i="1"/>
  <c r="J19" i="1"/>
  <c r="H29" i="1"/>
  <c r="D29" i="1" s="1"/>
  <c r="D60" i="1" s="1"/>
  <c r="J29" i="1"/>
  <c r="J60" i="1" s="1"/>
  <c r="O29" i="1"/>
  <c r="O60" i="1" s="1"/>
  <c r="I19" i="1"/>
  <c r="D14" i="1"/>
  <c r="D19" i="1" s="1"/>
  <c r="AG29" i="1" l="1"/>
  <c r="AG60" i="1" s="1"/>
  <c r="AB29" i="1"/>
  <c r="AB60" i="1" s="1"/>
  <c r="I29" i="1"/>
  <c r="I60" i="1" s="1"/>
  <c r="U29" i="1"/>
  <c r="U60" i="1" s="1"/>
  <c r="P29" i="1"/>
  <c r="P60" i="1" s="1"/>
</calcChain>
</file>

<file path=xl/sharedStrings.xml><?xml version="1.0" encoding="utf-8"?>
<sst xmlns="http://schemas.openxmlformats.org/spreadsheetml/2006/main" count="1378" uniqueCount="210">
  <si>
    <t>B. Demographic/Economic/Land Use Assumptions: County-Level Estimates for Population, Households, Jobs, and Employed Residents</t>
  </si>
  <si>
    <t>Plan Bay Area 2050</t>
  </si>
  <si>
    <t>Base Year 2015</t>
  </si>
  <si>
    <t>See Final Blueprint Growth Pattern:</t>
  </si>
  <si>
    <t xml:space="preserve">https://www.planbayarea.org/sites/default/files/FinalBlueprintRelease_December2020_GrowthPattern_Jan2021Update.pdf </t>
  </si>
  <si>
    <t>County</t>
  </si>
  <si>
    <t>Population</t>
  </si>
  <si>
    <t>Households</t>
  </si>
  <si>
    <t>Non-Institutional Group Quarters Population</t>
  </si>
  <si>
    <t>Jobs</t>
  </si>
  <si>
    <t>Employed Residents</t>
  </si>
  <si>
    <t>min</t>
  </si>
  <si>
    <t>tazData</t>
  </si>
  <si>
    <t>UrbanSim</t>
  </si>
  <si>
    <t>avg</t>
  </si>
  <si>
    <t>+ or - 1pct</t>
  </si>
  <si>
    <t>max</t>
  </si>
  <si>
    <t>San Francisco</t>
  </si>
  <si>
    <t>San Mateo</t>
  </si>
  <si>
    <t>Santa Clara</t>
  </si>
  <si>
    <t>Alameda</t>
  </si>
  <si>
    <t>Contra Costa</t>
  </si>
  <si>
    <t>Solano</t>
  </si>
  <si>
    <t>Napa</t>
  </si>
  <si>
    <t>Sonoma</t>
  </si>
  <si>
    <t>Marin</t>
  </si>
  <si>
    <t>Bay Area</t>
  </si>
  <si>
    <t>B. Demographic/Economic/Land Use Assumptions:  Superdistrict-Level Estimates for Population, Households, Jobs, and Employed Residents</t>
  </si>
  <si>
    <t>Superdistrict*</t>
  </si>
  <si>
    <t>1 to 4</t>
  </si>
  <si>
    <t>San Francisco County (Combined)</t>
  </si>
  <si>
    <t>North San Mateo County</t>
  </si>
  <si>
    <t>Central San Mateo County</t>
  </si>
  <si>
    <t>South San Mateo County</t>
  </si>
  <si>
    <t>Northwest Santa Clara County</t>
  </si>
  <si>
    <t>North Santa Clara County</t>
  </si>
  <si>
    <t>West Santa Clara County</t>
  </si>
  <si>
    <t>Central Santa Clara County</t>
  </si>
  <si>
    <t>East Santa Clara County</t>
  </si>
  <si>
    <t>Central South Santa Clara County</t>
  </si>
  <si>
    <t>South Santa Clara County</t>
  </si>
  <si>
    <t>East Alameda County</t>
  </si>
  <si>
    <t>South Alameda County</t>
  </si>
  <si>
    <t>Central Alameda County</t>
  </si>
  <si>
    <t>North Alameda County</t>
  </si>
  <si>
    <t>Northwest Alameda County</t>
  </si>
  <si>
    <t>West Contra Costa County</t>
  </si>
  <si>
    <t>North Contra Costa County</t>
  </si>
  <si>
    <t>Central Contra Costa County</t>
  </si>
  <si>
    <t>South Contra Costa County</t>
  </si>
  <si>
    <t>East Contra Costa County</t>
  </si>
  <si>
    <t>South Solano County</t>
  </si>
  <si>
    <t>North Solano County</t>
  </si>
  <si>
    <t>South Napa County</t>
  </si>
  <si>
    <t>North Napa County</t>
  </si>
  <si>
    <t>South Sonoma County</t>
  </si>
  <si>
    <t>Central Sonoma County</t>
  </si>
  <si>
    <t>North Sonoma County</t>
  </si>
  <si>
    <t>North Marin County</t>
  </si>
  <si>
    <t>Central Marin County</t>
  </si>
  <si>
    <t>South Marin County</t>
  </si>
  <si>
    <t>C. Demographic/Economic/Land Use Forecasts: County-Level Estimates for Population, Households, Jobs, and Employed Residents</t>
  </si>
  <si>
    <t>Forecast Year 2050</t>
  </si>
  <si>
    <t>C. Demographic/Economic/Land Use Forecasts:  Superdistrict-Level Estimates for Population, Households, Jobs, and Employed Residents</t>
  </si>
  <si>
    <t>dollars_2000_to_2010</t>
  </si>
  <si>
    <t>D. Pricing Assumptions: Auto Operating Cost, Key Transit Fares, Express Lane and Bridge Tolls</t>
  </si>
  <si>
    <t>See PBA50 Forecasting and Modeling Report:</t>
  </si>
  <si>
    <t>https://www.planbayarea.org/sites/default/files/documents/Plan_Bay_Area_2050_Forecasting_Modeling_Report_October_2021.pdf</t>
  </si>
  <si>
    <t>Pricing Assumption</t>
  </si>
  <si>
    <t>2050 Value in 2000 dollars</t>
  </si>
  <si>
    <t>2050 Value in 2010 dollars</t>
  </si>
  <si>
    <t>Perceived Automobile Operating Cost (per mile)</t>
  </si>
  <si>
    <t>Transit Fares</t>
  </si>
  <si>
    <t>Muni Local Bus</t>
  </si>
  <si>
    <t>AC Transit Local Bus</t>
  </si>
  <si>
    <t>VTA Local Bus</t>
  </si>
  <si>
    <t>SamTrans Local Bus</t>
  </si>
  <si>
    <t xml:space="preserve">Bridge Tolls </t>
  </si>
  <si>
    <t>Single Occupancy</t>
  </si>
  <si>
    <t>Carpool</t>
  </si>
  <si>
    <t>San Francisco/Oakland Bay Bridge</t>
  </si>
  <si>
    <t>Antioch Bridge</t>
  </si>
  <si>
    <t>Benicia/Martinez Bridge</t>
  </si>
  <si>
    <t>Carquinez Bridge</t>
  </si>
  <si>
    <t>Dumbarton Bridge</t>
  </si>
  <si>
    <t>Richmond/San Rafael Bridge</t>
  </si>
  <si>
    <t>San Mateo Bridge</t>
  </si>
  <si>
    <t>Golden Gate Bridge</t>
  </si>
  <si>
    <t>Express Lane (Dynamic Tolling) Cost (per mile)</t>
  </si>
  <si>
    <t>Minimum</t>
  </si>
  <si>
    <t>Maximum</t>
  </si>
  <si>
    <t>Strategy T5: Per-Mile Roadway Toll Cost*</t>
  </si>
  <si>
    <t>SR-37 Westbound Per-Mile Roadway Toll Cost</t>
  </si>
  <si>
    <t>F. Automobile Ownership: Households by Number of Automobiles, by County of Residence</t>
  </si>
  <si>
    <t>Zero Automobiles</t>
  </si>
  <si>
    <t>One Automobile</t>
  </si>
  <si>
    <t>Two Automobiles</t>
  </si>
  <si>
    <t>Three Automobiles</t>
  </si>
  <si>
    <t>Four-Plus Automobiles</t>
  </si>
  <si>
    <t>Total</t>
  </si>
  <si>
    <t>MTC Percent by County</t>
  </si>
  <si>
    <t>AlaCC Model</t>
  </si>
  <si>
    <t>San Joaquin</t>
  </si>
  <si>
    <t>AlaCC Model Area</t>
  </si>
  <si>
    <t>AlaCC Percent by County</t>
  </si>
  <si>
    <t>Compare Numbers</t>
  </si>
  <si>
    <t>F. Automobile Ownership: Households by Number of Automobiles, by Superdistrict of Residence</t>
  </si>
  <si>
    <t>San Joaquin County</t>
  </si>
  <si>
    <t>AlaCC Model Comnpared to PBA 2050</t>
  </si>
  <si>
    <t>G. Coordinated Daily Activity Pattern/Trip Generation: Trip Frequency by Purpose, by County of Residence</t>
  </si>
  <si>
    <t>Work</t>
  </si>
  <si>
    <t>University</t>
  </si>
  <si>
    <t>School</t>
  </si>
  <si>
    <t>At-Work</t>
  </si>
  <si>
    <t>Eat Out</t>
  </si>
  <si>
    <t>Escort</t>
  </si>
  <si>
    <t>Shopping</t>
  </si>
  <si>
    <t>Social</t>
  </si>
  <si>
    <t>Other</t>
  </si>
  <si>
    <t>All Purposes</t>
  </si>
  <si>
    <t>Compare AlaCC to PBA 2050</t>
  </si>
  <si>
    <t>G. Coordinated Daily Activity Pattern/Trip Generation: Trip Frequency by Purpose, by Superdistrict of Residence</t>
  </si>
  <si>
    <t>H. Activity/Trip Location: Average Trip Distance by Tour Purpose</t>
  </si>
  <si>
    <t>Tour Purpose</t>
  </si>
  <si>
    <t>Average Trip Distance</t>
  </si>
  <si>
    <t>% Difference</t>
  </si>
  <si>
    <t>H. Activity/Trip Location: Journey-to-Work Flows</t>
  </si>
  <si>
    <t>Count of work locations by worker (note: this does not include work tours not taken on the model day, due to telecommuting, vacation, sick day, etc)</t>
  </si>
  <si>
    <t>County of Work</t>
  </si>
  <si>
    <t>County of Residence</t>
  </si>
  <si>
    <t>Plan Bay Area 2050 %</t>
  </si>
  <si>
    <t>AlaCC Model %</t>
  </si>
  <si>
    <t>I. Travel Mode Choice: Trip Mode Choice by Tour Purpose and County of Residence</t>
  </si>
  <si>
    <t>Trip Mode</t>
  </si>
  <si>
    <t>Drive Alone</t>
  </si>
  <si>
    <t>Shared Ride 2</t>
  </si>
  <si>
    <t>Shared Ride 3+</t>
  </si>
  <si>
    <t>Taxi &amp; Ride-Hailing</t>
  </si>
  <si>
    <t>All Auto</t>
  </si>
  <si>
    <t>Transit</t>
  </si>
  <si>
    <t>Walk</t>
  </si>
  <si>
    <t>Bicycle</t>
  </si>
  <si>
    <t>All Modes</t>
  </si>
  <si>
    <t>J. Traffic and Transit Assignment: VMT, VHT and Average Speed by Facility Type and Time Period</t>
  </si>
  <si>
    <t>Includes all vehicle types, internal/external travel, travel to airports</t>
  </si>
  <si>
    <t>Facility Type</t>
  </si>
  <si>
    <t>Timeperiod</t>
  </si>
  <si>
    <t>Managed Freeways</t>
  </si>
  <si>
    <t>Freeways</t>
  </si>
  <si>
    <t>Expressways</t>
  </si>
  <si>
    <t>Major arterials</t>
  </si>
  <si>
    <t>Collectors</t>
  </si>
  <si>
    <t>Others</t>
  </si>
  <si>
    <t>All Facilities</t>
  </si>
  <si>
    <t>All Freeways</t>
  </si>
  <si>
    <t>Vehicle Miles Travelled</t>
  </si>
  <si>
    <t>Early AM (3-6 AM)</t>
  </si>
  <si>
    <t>AM Peak (6-10 AM)</t>
  </si>
  <si>
    <t>Midday (10 AM-3 PM)</t>
  </si>
  <si>
    <t>PM Peak (3-7 PM)</t>
  </si>
  <si>
    <t>Evening (7 PM-3 AM)</t>
  </si>
  <si>
    <t>All Time Periods</t>
  </si>
  <si>
    <t>Vehicle Hours Travelled</t>
  </si>
  <si>
    <t>Average Speed (miles per hour)</t>
  </si>
  <si>
    <t>Compare</t>
  </si>
  <si>
    <t>J. Traffic and Transit Assignment: Forecasted Bridge and Screenline Volumes by Time Period</t>
  </si>
  <si>
    <t>Route Number/Direction</t>
  </si>
  <si>
    <t>Link Description</t>
  </si>
  <si>
    <t>80 W</t>
  </si>
  <si>
    <t>Bay Bridge (Alameda to San Francisco)</t>
  </si>
  <si>
    <t>80 E</t>
  </si>
  <si>
    <t>Bay Bridge (San Francisco to Alameda)</t>
  </si>
  <si>
    <t>101 S</t>
  </si>
  <si>
    <t>Golden Gate Bridge (Marin to San Francisco)</t>
  </si>
  <si>
    <t>101 N</t>
  </si>
  <si>
    <t>Golden Gate Bridge (San Francisco to Marin)</t>
  </si>
  <si>
    <t>1 S</t>
  </si>
  <si>
    <t>Route 1 (San Francisco to San Mateo)</t>
  </si>
  <si>
    <t>1 N</t>
  </si>
  <si>
    <t>Route 1 (San Mateo to San Francisco)</t>
  </si>
  <si>
    <t>Route 101 (San Francisco to San Mateo)</t>
  </si>
  <si>
    <t>Route 101 (San Mateo to San Francisco)</t>
  </si>
  <si>
    <t>280 S</t>
  </si>
  <si>
    <t>Route 280 (San Francisco to San Mateo)</t>
  </si>
  <si>
    <t>280 N</t>
  </si>
  <si>
    <t>Route 280 (San Mateo to San Francisco)</t>
  </si>
  <si>
    <t>[to be expanded]</t>
  </si>
  <si>
    <t>J. Traffic and Transit Assignment: Forecasted Transit Boardings by Operator and Technology</t>
  </si>
  <si>
    <t>Operator</t>
  </si>
  <si>
    <t>Technology</t>
  </si>
  <si>
    <t>AC Transit</t>
  </si>
  <si>
    <t>Bus</t>
  </si>
  <si>
    <t>BART</t>
  </si>
  <si>
    <t>Heavy Rail</t>
  </si>
  <si>
    <t>Caltrain</t>
  </si>
  <si>
    <t>Commuter Rail</t>
  </si>
  <si>
    <t>Golden Gate Transit</t>
  </si>
  <si>
    <t>Ferry</t>
  </si>
  <si>
    <t>SamTrans</t>
  </si>
  <si>
    <t>SF Muni</t>
  </si>
  <si>
    <t>Light Rail</t>
  </si>
  <si>
    <t>VTA</t>
  </si>
  <si>
    <t>All</t>
  </si>
  <si>
    <t>EV Peak (7 PM-3 AM)</t>
  </si>
  <si>
    <t>Heavy rail</t>
  </si>
  <si>
    <t>Commuter rail</t>
  </si>
  <si>
    <t>Ferry Services</t>
  </si>
  <si>
    <t>Light rail</t>
  </si>
  <si>
    <t>-</t>
  </si>
  <si>
    <t>Cable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</si>
</sst>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3" formatCode="_(* #,##0.00_);_(* \(#,##0.00\);_(* &quot;-&quot;??_);_(@_)"/>
    <numFmt numFmtId="164" formatCode="0.0%"/>
    <numFmt numFmtId="165" formatCode="&quot;$&quot;#,##0.00"/>
    <numFmt numFmtId="166" formatCode="&quot;$&quot;#,##0.000_);[Red]\(&quot;$&quot;#,##0.000\)"/>
    <numFmt numFmtId="167" formatCode="&quot;$&quot;#,##0.000"/>
    <numFmt numFmtId="168" formatCode="0.0"/>
    <numFmt numFmtId="169" formatCode="_(* #,##0_);_(* \(#,##0\);_(* &quot;-&quot;??_);_(@_)"/>
  </numFmts>
  <fonts count="1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 (Body)"/>
    </font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0" tint="-0.249977111117893"/>
      <name val="Calibri (Body)"/>
    </font>
    <font>
      <u/>
      <sz val="12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thin">
        <color indexed="64"/>
      </bottom>
      <diagonal/>
    </border>
    <border>
      <left style="hair">
        <color auto="1"/>
      </left>
      <right/>
      <top style="double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double">
        <color auto="1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11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264">
    <xf numFmtId="0" fontId="0" fillId="0" borderId="0" xfId="0"/>
    <xf numFmtId="0" fontId="4" fillId="0" borderId="0" xfId="0" applyFont="1"/>
    <xf numFmtId="0" fontId="5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3" fontId="5" fillId="3" borderId="0" xfId="0" applyNumberFormat="1" applyFont="1" applyFill="1" applyAlignment="1">
      <alignment vertical="center"/>
    </xf>
    <xf numFmtId="0" fontId="5" fillId="0" borderId="2" xfId="0" applyFont="1" applyBorder="1" applyAlignment="1">
      <alignment vertical="center"/>
    </xf>
    <xf numFmtId="3" fontId="5" fillId="3" borderId="2" xfId="0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vertical="center"/>
    </xf>
    <xf numFmtId="3" fontId="5" fillId="2" borderId="2" xfId="0" applyNumberFormat="1" applyFont="1" applyFill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3" fontId="5" fillId="5" borderId="0" xfId="0" applyNumberFormat="1" applyFont="1" applyFill="1" applyAlignment="1">
      <alignment vertical="center"/>
    </xf>
    <xf numFmtId="0" fontId="0" fillId="0" borderId="4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3" fontId="5" fillId="3" borderId="5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0" fillId="0" borderId="6" xfId="0" applyBorder="1"/>
    <xf numFmtId="3" fontId="5" fillId="3" borderId="6" xfId="0" applyNumberFormat="1" applyFont="1" applyFill="1" applyBorder="1" applyAlignment="1">
      <alignment vertical="center"/>
    </xf>
    <xf numFmtId="3" fontId="5" fillId="0" borderId="0" xfId="0" applyNumberFormat="1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right"/>
    </xf>
    <xf numFmtId="3" fontId="6" fillId="3" borderId="5" xfId="0" applyNumberFormat="1" applyFont="1" applyFill="1" applyBorder="1" applyAlignment="1">
      <alignment vertical="center"/>
    </xf>
    <xf numFmtId="3" fontId="6" fillId="0" borderId="0" xfId="0" applyNumberFormat="1" applyFont="1"/>
    <xf numFmtId="3" fontId="6" fillId="0" borderId="0" xfId="0" applyNumberFormat="1" applyFont="1" applyAlignment="1">
      <alignment vertical="center"/>
    </xf>
    <xf numFmtId="3" fontId="5" fillId="3" borderId="4" xfId="0" applyNumberFormat="1" applyFont="1" applyFill="1" applyBorder="1" applyAlignment="1">
      <alignment vertical="center"/>
    </xf>
    <xf numFmtId="3" fontId="6" fillId="2" borderId="5" xfId="0" applyNumberFormat="1" applyFont="1" applyFill="1" applyBorder="1" applyAlignment="1">
      <alignment vertical="center"/>
    </xf>
    <xf numFmtId="3" fontId="5" fillId="2" borderId="4" xfId="0" applyNumberFormat="1" applyFont="1" applyFill="1" applyBorder="1" applyAlignment="1">
      <alignment vertical="center"/>
    </xf>
    <xf numFmtId="3" fontId="5" fillId="2" borderId="5" xfId="0" applyNumberFormat="1" applyFont="1" applyFill="1" applyBorder="1" applyAlignment="1">
      <alignment vertical="center"/>
    </xf>
    <xf numFmtId="3" fontId="5" fillId="2" borderId="6" xfId="0" applyNumberFormat="1" applyFont="1" applyFill="1" applyBorder="1" applyAlignment="1">
      <alignment vertical="center"/>
    </xf>
    <xf numFmtId="164" fontId="5" fillId="3" borderId="4" xfId="1" applyNumberFormat="1" applyFont="1" applyFill="1" applyBorder="1" applyAlignment="1">
      <alignment vertical="center"/>
    </xf>
    <xf numFmtId="0" fontId="5" fillId="3" borderId="3" xfId="0" quotePrefix="1" applyFont="1" applyFill="1" applyBorder="1" applyAlignment="1">
      <alignment horizontal="center" vertical="center"/>
    </xf>
    <xf numFmtId="164" fontId="5" fillId="3" borderId="0" xfId="1" applyNumberFormat="1" applyFont="1" applyFill="1" applyAlignment="1">
      <alignment horizontal="center" vertical="center"/>
    </xf>
    <xf numFmtId="164" fontId="5" fillId="3" borderId="4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3" fontId="6" fillId="3" borderId="4" xfId="0" applyNumberFormat="1" applyFont="1" applyFill="1" applyBorder="1" applyAlignment="1">
      <alignment vertical="center"/>
    </xf>
    <xf numFmtId="0" fontId="5" fillId="5" borderId="3" xfId="0" quotePrefix="1" applyFont="1" applyFill="1" applyBorder="1" applyAlignment="1">
      <alignment horizontal="center" vertical="center"/>
    </xf>
    <xf numFmtId="164" fontId="5" fillId="5" borderId="0" xfId="1" applyNumberFormat="1" applyFont="1" applyFill="1" applyAlignment="1">
      <alignment horizontal="center" vertical="center"/>
    </xf>
    <xf numFmtId="164" fontId="5" fillId="5" borderId="4" xfId="1" applyNumberFormat="1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vertical="center"/>
    </xf>
    <xf numFmtId="164" fontId="5" fillId="5" borderId="4" xfId="1" applyNumberFormat="1" applyFont="1" applyFill="1" applyBorder="1" applyAlignment="1">
      <alignment vertical="center"/>
    </xf>
    <xf numFmtId="9" fontId="5" fillId="2" borderId="3" xfId="1" applyFont="1" applyFill="1" applyBorder="1" applyAlignment="1">
      <alignment horizontal="center" vertical="center"/>
    </xf>
    <xf numFmtId="164" fontId="5" fillId="2" borderId="0" xfId="1" applyNumberFormat="1" applyFont="1" applyFill="1" applyAlignment="1">
      <alignment horizontal="center" vertical="center"/>
    </xf>
    <xf numFmtId="164" fontId="6" fillId="2" borderId="5" xfId="1" applyNumberFormat="1" applyFont="1" applyFill="1" applyBorder="1" applyAlignment="1">
      <alignment horizontal="center" vertical="center"/>
    </xf>
    <xf numFmtId="164" fontId="5" fillId="2" borderId="0" xfId="1" applyNumberFormat="1" applyFont="1" applyFill="1" applyBorder="1" applyAlignment="1">
      <alignment horizontal="center" vertical="center"/>
    </xf>
    <xf numFmtId="164" fontId="5" fillId="2" borderId="4" xfId="1" applyNumberFormat="1" applyFont="1" applyFill="1" applyBorder="1" applyAlignment="1">
      <alignment horizontal="center" vertical="center"/>
    </xf>
    <xf numFmtId="164" fontId="5" fillId="2" borderId="5" xfId="1" applyNumberFormat="1" applyFont="1" applyFill="1" applyBorder="1" applyAlignment="1">
      <alignment horizontal="center" vertical="center"/>
    </xf>
    <xf numFmtId="9" fontId="0" fillId="0" borderId="0" xfId="0" applyNumberFormat="1"/>
    <xf numFmtId="3" fontId="5" fillId="3" borderId="0" xfId="0" applyNumberFormat="1" applyFont="1" applyFill="1" applyAlignment="1">
      <alignment horizontal="right" vertical="center"/>
    </xf>
    <xf numFmtId="3" fontId="5" fillId="3" borderId="2" xfId="0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8" fillId="0" borderId="0" xfId="0" applyFont="1"/>
    <xf numFmtId="3" fontId="0" fillId="0" borderId="0" xfId="0" applyNumberFormat="1"/>
    <xf numFmtId="3" fontId="0" fillId="0" borderId="4" xfId="0" applyNumberFormat="1" applyBorder="1"/>
    <xf numFmtId="0" fontId="0" fillId="0" borderId="2" xfId="0" applyBorder="1"/>
    <xf numFmtId="3" fontId="0" fillId="0" borderId="2" xfId="0" applyNumberFormat="1" applyBorder="1"/>
    <xf numFmtId="0" fontId="0" fillId="0" borderId="7" xfId="0" applyBorder="1" applyAlignment="1">
      <alignment wrapText="1"/>
    </xf>
    <xf numFmtId="0" fontId="0" fillId="0" borderId="7" xfId="0" applyBorder="1" applyAlignment="1">
      <alignment horizontal="center" wrapText="1"/>
    </xf>
    <xf numFmtId="0" fontId="5" fillId="0" borderId="6" xfId="0" applyFont="1" applyBorder="1" applyAlignment="1">
      <alignment horizontal="right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2"/>
    <xf numFmtId="3" fontId="5" fillId="3" borderId="1" xfId="0" applyNumberFormat="1" applyFont="1" applyFill="1" applyBorder="1" applyAlignment="1">
      <alignment vertical="center"/>
    </xf>
    <xf numFmtId="3" fontId="5" fillId="3" borderId="2" xfId="0" applyNumberFormat="1" applyFont="1" applyFill="1" applyBorder="1" applyAlignment="1">
      <alignment horizontal="center" vertical="center"/>
    </xf>
    <xf numFmtId="167" fontId="5" fillId="3" borderId="0" xfId="0" applyNumberFormat="1" applyFont="1" applyFill="1" applyAlignment="1">
      <alignment vertical="center"/>
    </xf>
    <xf numFmtId="167" fontId="5" fillId="3" borderId="4" xfId="0" applyNumberFormat="1" applyFont="1" applyFill="1" applyBorder="1" applyAlignment="1">
      <alignment vertical="center"/>
    </xf>
    <xf numFmtId="8" fontId="0" fillId="0" borderId="1" xfId="0" applyNumberFormat="1" applyBorder="1"/>
    <xf numFmtId="0" fontId="0" fillId="0" borderId="1" xfId="0" applyBorder="1"/>
    <xf numFmtId="165" fontId="5" fillId="3" borderId="0" xfId="0" applyNumberFormat="1" applyFont="1" applyFill="1" applyAlignment="1">
      <alignment vertical="center"/>
    </xf>
    <xf numFmtId="165" fontId="5" fillId="3" borderId="4" xfId="0" applyNumberFormat="1" applyFont="1" applyFill="1" applyBorder="1" applyAlignment="1">
      <alignment vertical="center"/>
    </xf>
    <xf numFmtId="3" fontId="0" fillId="0" borderId="1" xfId="0" applyNumberFormat="1" applyBorder="1"/>
    <xf numFmtId="0" fontId="0" fillId="0" borderId="10" xfId="0" applyBorder="1" applyAlignment="1">
      <alignment horizontal="center" wrapText="1"/>
    </xf>
    <xf numFmtId="3" fontId="0" fillId="0" borderId="11" xfId="0" applyNumberFormat="1" applyBorder="1"/>
    <xf numFmtId="3" fontId="0" fillId="0" borderId="9" xfId="0" applyNumberFormat="1" applyBorder="1"/>
    <xf numFmtId="3" fontId="0" fillId="0" borderId="12" xfId="0" applyNumberFormat="1" applyBorder="1"/>
    <xf numFmtId="0" fontId="5" fillId="0" borderId="2" xfId="0" applyFont="1" applyBorder="1" applyAlignment="1">
      <alignment horizontal="right" vertical="center"/>
    </xf>
    <xf numFmtId="3" fontId="0" fillId="0" borderId="13" xfId="0" applyNumberFormat="1" applyBorder="1"/>
    <xf numFmtId="0" fontId="12" fillId="0" borderId="7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2" xfId="0" applyFont="1" applyBorder="1" applyAlignment="1">
      <alignment vertical="center"/>
    </xf>
    <xf numFmtId="2" fontId="12" fillId="0" borderId="0" xfId="0" applyNumberFormat="1" applyFont="1" applyAlignment="1">
      <alignment horizontal="right" vertical="center"/>
    </xf>
    <xf numFmtId="2" fontId="12" fillId="0" borderId="2" xfId="0" applyNumberFormat="1" applyFont="1" applyBorder="1" applyAlignment="1">
      <alignment horizontal="right" vertical="center"/>
    </xf>
    <xf numFmtId="0" fontId="12" fillId="0" borderId="7" xfId="0" applyFont="1" applyBorder="1" applyAlignment="1">
      <alignment horizontal="right" vertic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13" fillId="0" borderId="0" xfId="0" quotePrefix="1" applyFont="1" applyAlignment="1">
      <alignment horizontal="left" vertical="top"/>
    </xf>
    <xf numFmtId="0" fontId="13" fillId="0" borderId="0" xfId="0" quotePrefix="1" applyFont="1" applyAlignment="1">
      <alignment horizontal="left" wrapText="1"/>
    </xf>
    <xf numFmtId="0" fontId="13" fillId="0" borderId="3" xfId="0" quotePrefix="1" applyFont="1" applyBorder="1" applyAlignment="1">
      <alignment horizontal="left" wrapText="1"/>
    </xf>
    <xf numFmtId="0" fontId="13" fillId="0" borderId="3" xfId="0" quotePrefix="1" applyFont="1" applyBorder="1" applyAlignment="1">
      <alignment horizontal="center" wrapText="1"/>
    </xf>
    <xf numFmtId="164" fontId="13" fillId="0" borderId="0" xfId="0" applyNumberFormat="1" applyFont="1" applyAlignment="1">
      <alignment vertical="center"/>
    </xf>
    <xf numFmtId="164" fontId="13" fillId="0" borderId="17" xfId="0" applyNumberFormat="1" applyFont="1" applyBorder="1" applyAlignment="1">
      <alignment vertical="center"/>
    </xf>
    <xf numFmtId="164" fontId="13" fillId="0" borderId="11" xfId="0" applyNumberFormat="1" applyFont="1" applyBorder="1" applyAlignment="1">
      <alignment vertical="center"/>
    </xf>
    <xf numFmtId="0" fontId="13" fillId="0" borderId="2" xfId="0" quotePrefix="1" applyFont="1" applyBorder="1" applyAlignment="1">
      <alignment horizontal="left" vertical="top"/>
    </xf>
    <xf numFmtId="164" fontId="13" fillId="0" borderId="2" xfId="0" applyNumberFormat="1" applyFont="1" applyBorder="1" applyAlignment="1">
      <alignment vertical="center"/>
    </xf>
    <xf numFmtId="164" fontId="13" fillId="0" borderId="18" xfId="0" applyNumberFormat="1" applyFont="1" applyBorder="1" applyAlignment="1">
      <alignment vertical="center"/>
    </xf>
    <xf numFmtId="164" fontId="13" fillId="0" borderId="13" xfId="0" applyNumberFormat="1" applyFont="1" applyBorder="1" applyAlignment="1">
      <alignment vertical="center"/>
    </xf>
    <xf numFmtId="0" fontId="2" fillId="0" borderId="0" xfId="0" applyFont="1"/>
    <xf numFmtId="0" fontId="13" fillId="0" borderId="20" xfId="0" quotePrefix="1" applyFont="1" applyBorder="1" applyAlignment="1">
      <alignment horizontal="center" wrapText="1"/>
    </xf>
    <xf numFmtId="0" fontId="13" fillId="0" borderId="19" xfId="0" quotePrefix="1" applyFont="1" applyBorder="1" applyAlignment="1">
      <alignment horizontal="left" wrapText="1"/>
    </xf>
    <xf numFmtId="0" fontId="13" fillId="0" borderId="8" xfId="0" quotePrefix="1" applyFont="1" applyBorder="1" applyAlignment="1">
      <alignment horizontal="left" wrapText="1"/>
    </xf>
    <xf numFmtId="0" fontId="0" fillId="0" borderId="9" xfId="0" applyBorder="1"/>
    <xf numFmtId="0" fontId="13" fillId="0" borderId="9" xfId="0" quotePrefix="1" applyFont="1" applyBorder="1" applyAlignment="1">
      <alignment vertical="center"/>
    </xf>
    <xf numFmtId="0" fontId="13" fillId="0" borderId="1" xfId="0" applyFont="1" applyBorder="1"/>
    <xf numFmtId="3" fontId="13" fillId="0" borderId="0" xfId="0" applyNumberFormat="1" applyFont="1"/>
    <xf numFmtId="0" fontId="13" fillId="0" borderId="4" xfId="0" quotePrefix="1" applyFont="1" applyBorder="1" applyAlignment="1">
      <alignment horizontal="left" vertical="top"/>
    </xf>
    <xf numFmtId="0" fontId="13" fillId="0" borderId="3" xfId="0" quotePrefix="1" applyFont="1" applyBorder="1" applyAlignment="1">
      <alignment horizontal="left"/>
    </xf>
    <xf numFmtId="0" fontId="13" fillId="0" borderId="1" xfId="0" quotePrefix="1" applyFont="1" applyBorder="1" applyAlignment="1">
      <alignment horizontal="left" vertical="top"/>
    </xf>
    <xf numFmtId="3" fontId="13" fillId="0" borderId="4" xfId="0" applyNumberFormat="1" applyFont="1" applyBorder="1" applyAlignment="1">
      <alignment vertical="center"/>
    </xf>
    <xf numFmtId="3" fontId="13" fillId="0" borderId="2" xfId="0" applyNumberFormat="1" applyFont="1" applyBorder="1" applyAlignment="1">
      <alignment vertical="center"/>
    </xf>
    <xf numFmtId="3" fontId="13" fillId="0" borderId="1" xfId="0" applyNumberFormat="1" applyFont="1" applyBorder="1" applyAlignment="1">
      <alignment vertical="center"/>
    </xf>
    <xf numFmtId="3" fontId="13" fillId="0" borderId="0" xfId="0" applyNumberFormat="1" applyFont="1" applyAlignment="1">
      <alignment vertical="center"/>
    </xf>
    <xf numFmtId="3" fontId="13" fillId="0" borderId="23" xfId="0" applyNumberFormat="1" applyFont="1" applyBorder="1"/>
    <xf numFmtId="3" fontId="13" fillId="0" borderId="13" xfId="0" applyNumberFormat="1" applyFont="1" applyBorder="1"/>
    <xf numFmtId="3" fontId="13" fillId="0" borderId="9" xfId="0" applyNumberFormat="1" applyFont="1" applyBorder="1"/>
    <xf numFmtId="3" fontId="13" fillId="0" borderId="12" xfId="0" applyNumberFormat="1" applyFont="1" applyBorder="1"/>
    <xf numFmtId="3" fontId="13" fillId="0" borderId="11" xfId="0" applyNumberFormat="1" applyFont="1" applyBorder="1"/>
    <xf numFmtId="0" fontId="13" fillId="0" borderId="19" xfId="0" applyFont="1" applyBorder="1"/>
    <xf numFmtId="0" fontId="13" fillId="0" borderId="19" xfId="0" applyFont="1" applyBorder="1" applyAlignment="1">
      <alignment horizontal="left" vertical="top"/>
    </xf>
    <xf numFmtId="3" fontId="13" fillId="0" borderId="19" xfId="0" applyNumberFormat="1" applyFont="1" applyBorder="1"/>
    <xf numFmtId="3" fontId="13" fillId="0" borderId="21" xfId="0" applyNumberFormat="1" applyFont="1" applyBorder="1"/>
    <xf numFmtId="0" fontId="14" fillId="0" borderId="4" xfId="0" applyFont="1" applyBorder="1"/>
    <xf numFmtId="0" fontId="13" fillId="0" borderId="9" xfId="0" applyFont="1" applyBorder="1"/>
    <xf numFmtId="0" fontId="15" fillId="0" borderId="0" xfId="0" applyFont="1"/>
    <xf numFmtId="0" fontId="16" fillId="0" borderId="0" xfId="0" applyFont="1"/>
    <xf numFmtId="9" fontId="13" fillId="0" borderId="4" xfId="1" applyFont="1" applyBorder="1" applyAlignment="1">
      <alignment vertical="center"/>
    </xf>
    <xf numFmtId="9" fontId="13" fillId="0" borderId="23" xfId="1" applyFont="1" applyBorder="1" applyAlignment="1">
      <alignment vertical="center"/>
    </xf>
    <xf numFmtId="9" fontId="13" fillId="0" borderId="13" xfId="1" applyFont="1" applyBorder="1" applyAlignment="1">
      <alignment vertical="center"/>
    </xf>
    <xf numFmtId="9" fontId="13" fillId="0" borderId="2" xfId="1" applyFont="1" applyBorder="1" applyAlignment="1">
      <alignment vertical="center"/>
    </xf>
    <xf numFmtId="9" fontId="13" fillId="0" borderId="1" xfId="1" applyFont="1" applyBorder="1" applyAlignment="1">
      <alignment vertical="center"/>
    </xf>
    <xf numFmtId="9" fontId="13" fillId="0" borderId="9" xfId="1" applyFont="1" applyBorder="1" applyAlignment="1">
      <alignment vertical="center"/>
    </xf>
    <xf numFmtId="9" fontId="13" fillId="0" borderId="12" xfId="1" applyFont="1" applyBorder="1" applyAlignment="1">
      <alignment vertical="center"/>
    </xf>
    <xf numFmtId="9" fontId="13" fillId="0" borderId="0" xfId="1" applyFont="1" applyBorder="1" applyAlignment="1">
      <alignment vertical="center"/>
    </xf>
    <xf numFmtId="9" fontId="13" fillId="0" borderId="11" xfId="1" applyFont="1" applyBorder="1" applyAlignment="1">
      <alignment vertical="center"/>
    </xf>
    <xf numFmtId="9" fontId="13" fillId="0" borderId="19" xfId="1" applyFont="1" applyBorder="1" applyAlignment="1">
      <alignment vertical="center"/>
    </xf>
    <xf numFmtId="9" fontId="13" fillId="0" borderId="21" xfId="1" applyFont="1" applyBorder="1" applyAlignment="1">
      <alignment vertical="center"/>
    </xf>
    <xf numFmtId="169" fontId="0" fillId="0" borderId="0" xfId="3" applyNumberFormat="1" applyFont="1"/>
    <xf numFmtId="9" fontId="0" fillId="0" borderId="0" xfId="1" applyFont="1"/>
    <xf numFmtId="9" fontId="0" fillId="0" borderId="11" xfId="1" applyFont="1" applyBorder="1"/>
    <xf numFmtId="9" fontId="0" fillId="0" borderId="4" xfId="1" applyFont="1" applyBorder="1"/>
    <xf numFmtId="9" fontId="0" fillId="0" borderId="12" xfId="1" applyFont="1" applyBorder="1"/>
    <xf numFmtId="9" fontId="0" fillId="0" borderId="2" xfId="1" applyFont="1" applyBorder="1"/>
    <xf numFmtId="9" fontId="0" fillId="0" borderId="13" xfId="1" applyFont="1" applyBorder="1"/>
    <xf numFmtId="9" fontId="0" fillId="0" borderId="0" xfId="1" applyFont="1" applyBorder="1"/>
    <xf numFmtId="0" fontId="17" fillId="0" borderId="0" xfId="0" applyFont="1" applyAlignment="1">
      <alignment vertical="center"/>
    </xf>
    <xf numFmtId="9" fontId="12" fillId="0" borderId="0" xfId="1" applyFont="1" applyAlignment="1">
      <alignment horizontal="right" vertical="center"/>
    </xf>
    <xf numFmtId="9" fontId="12" fillId="0" borderId="2" xfId="1" applyFont="1" applyBorder="1" applyAlignment="1">
      <alignment horizontal="right" vertical="center"/>
    </xf>
    <xf numFmtId="9" fontId="0" fillId="0" borderId="1" xfId="1" applyFont="1" applyBorder="1"/>
    <xf numFmtId="9" fontId="0" fillId="0" borderId="9" xfId="1" applyFont="1" applyBorder="1"/>
    <xf numFmtId="0" fontId="15" fillId="0" borderId="29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169" fontId="0" fillId="0" borderId="31" xfId="0" applyNumberFormat="1" applyBorder="1" applyAlignment="1">
      <alignment horizontal="right" vertical="center" wrapText="1"/>
    </xf>
    <xf numFmtId="169" fontId="15" fillId="6" borderId="30" xfId="0" applyNumberFormat="1" applyFont="1" applyFill="1" applyBorder="1" applyAlignment="1">
      <alignment horizontal="right" vertical="center" wrapText="1"/>
    </xf>
    <xf numFmtId="0" fontId="15" fillId="0" borderId="24" xfId="0" applyFont="1" applyBorder="1" applyAlignment="1">
      <alignment horizontal="left" vertical="center" wrapText="1"/>
    </xf>
    <xf numFmtId="169" fontId="0" fillId="0" borderId="0" xfId="0" applyNumberFormat="1" applyAlignment="1">
      <alignment horizontal="right" vertical="center" wrapText="1"/>
    </xf>
    <xf numFmtId="169" fontId="15" fillId="6" borderId="24" xfId="0" applyNumberFormat="1" applyFont="1" applyFill="1" applyBorder="1" applyAlignment="1">
      <alignment horizontal="right" vertical="center" wrapText="1"/>
    </xf>
    <xf numFmtId="0" fontId="15" fillId="0" borderId="25" xfId="0" applyFont="1" applyBorder="1" applyAlignment="1">
      <alignment horizontal="left" vertical="center" wrapText="1"/>
    </xf>
    <xf numFmtId="169" fontId="0" fillId="0" borderId="26" xfId="0" applyNumberFormat="1" applyBorder="1" applyAlignment="1">
      <alignment horizontal="right" vertical="center" wrapText="1"/>
    </xf>
    <xf numFmtId="169" fontId="15" fillId="6" borderId="25" xfId="0" applyNumberFormat="1" applyFont="1" applyFill="1" applyBorder="1" applyAlignment="1">
      <alignment horizontal="right" vertical="center" wrapText="1"/>
    </xf>
    <xf numFmtId="169" fontId="0" fillId="0" borderId="28" xfId="0" applyNumberFormat="1" applyBorder="1" applyAlignment="1">
      <alignment horizontal="right" vertical="center" wrapText="1"/>
    </xf>
    <xf numFmtId="169" fontId="15" fillId="6" borderId="27" xfId="0" applyNumberFormat="1" applyFont="1" applyFill="1" applyBorder="1" applyAlignment="1">
      <alignment horizontal="right" vertical="center" wrapText="1"/>
    </xf>
    <xf numFmtId="169" fontId="15" fillId="0" borderId="28" xfId="0" applyNumberFormat="1" applyFont="1" applyBorder="1" applyAlignment="1">
      <alignment horizontal="right" vertical="center" wrapText="1"/>
    </xf>
    <xf numFmtId="169" fontId="15" fillId="0" borderId="27" xfId="0" applyNumberFormat="1" applyFont="1" applyBorder="1" applyAlignment="1">
      <alignment horizontal="right" vertical="center" wrapText="1"/>
    </xf>
    <xf numFmtId="169" fontId="0" fillId="0" borderId="0" xfId="0" applyNumberFormat="1"/>
    <xf numFmtId="0" fontId="15" fillId="7" borderId="25" xfId="0" applyFont="1" applyFill="1" applyBorder="1" applyAlignment="1">
      <alignment horizontal="left" vertical="center" wrapText="1"/>
    </xf>
    <xf numFmtId="169" fontId="0" fillId="7" borderId="26" xfId="0" applyNumberFormat="1" applyFill="1" applyBorder="1" applyAlignment="1">
      <alignment horizontal="right" vertical="center" wrapText="1"/>
    </xf>
    <xf numFmtId="169" fontId="15" fillId="7" borderId="25" xfId="0" applyNumberFormat="1" applyFont="1" applyFill="1" applyBorder="1" applyAlignment="1">
      <alignment horizontal="right" vertical="center" wrapText="1"/>
    </xf>
    <xf numFmtId="0" fontId="15" fillId="7" borderId="27" xfId="0" applyFont="1" applyFill="1" applyBorder="1" applyAlignment="1">
      <alignment horizontal="left" vertical="center" wrapText="1"/>
    </xf>
    <xf numFmtId="169" fontId="0" fillId="7" borderId="28" xfId="0" applyNumberFormat="1" applyFill="1" applyBorder="1" applyAlignment="1">
      <alignment horizontal="right" vertical="center" wrapText="1"/>
    </xf>
    <xf numFmtId="169" fontId="15" fillId="7" borderId="27" xfId="0" applyNumberFormat="1" applyFont="1" applyFill="1" applyBorder="1" applyAlignment="1">
      <alignment horizontal="right" vertical="center" wrapText="1"/>
    </xf>
    <xf numFmtId="0" fontId="13" fillId="0" borderId="0" xfId="0" quotePrefix="1" applyFont="1" applyAlignment="1">
      <alignment vertical="center"/>
    </xf>
    <xf numFmtId="0" fontId="13" fillId="0" borderId="0" xfId="0" quotePrefix="1" applyFont="1" applyAlignment="1">
      <alignment horizontal="center" wrapText="1"/>
    </xf>
    <xf numFmtId="0" fontId="15" fillId="7" borderId="30" xfId="0" applyFont="1" applyFill="1" applyBorder="1" applyAlignment="1">
      <alignment horizontal="left" vertical="center" wrapText="1"/>
    </xf>
    <xf numFmtId="169" fontId="0" fillId="7" borderId="31" xfId="0" applyNumberFormat="1" applyFill="1" applyBorder="1" applyAlignment="1">
      <alignment horizontal="right" vertical="center" wrapText="1"/>
    </xf>
    <xf numFmtId="169" fontId="15" fillId="7" borderId="30" xfId="0" applyNumberFormat="1" applyFont="1" applyFill="1" applyBorder="1" applyAlignment="1">
      <alignment horizontal="right" vertical="center" wrapText="1"/>
    </xf>
    <xf numFmtId="0" fontId="15" fillId="7" borderId="24" xfId="0" applyFont="1" applyFill="1" applyBorder="1" applyAlignment="1">
      <alignment horizontal="left" vertical="center" wrapText="1"/>
    </xf>
    <xf numFmtId="169" fontId="0" fillId="7" borderId="0" xfId="0" applyNumberFormat="1" applyFill="1" applyAlignment="1">
      <alignment horizontal="right" vertical="center" wrapText="1"/>
    </xf>
    <xf numFmtId="169" fontId="15" fillId="7" borderId="24" xfId="0" applyNumberFormat="1" applyFont="1" applyFill="1" applyBorder="1" applyAlignment="1">
      <alignment horizontal="right" vertical="center" wrapText="1"/>
    </xf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1" fillId="3" borderId="4" xfId="0" applyNumberFormat="1" applyFont="1" applyFill="1" applyBorder="1" applyAlignment="1">
      <alignment vertical="center"/>
    </xf>
    <xf numFmtId="3" fontId="1" fillId="2" borderId="5" xfId="0" applyNumberFormat="1" applyFont="1" applyFill="1" applyBorder="1" applyAlignment="1">
      <alignment vertical="center"/>
    </xf>
    <xf numFmtId="0" fontId="1" fillId="0" borderId="7" xfId="0" applyFont="1" applyBorder="1"/>
    <xf numFmtId="0" fontId="1" fillId="0" borderId="0" xfId="0" applyFont="1"/>
    <xf numFmtId="166" fontId="1" fillId="0" borderId="0" xfId="0" applyNumberFormat="1" applyFont="1"/>
    <xf numFmtId="0" fontId="1" fillId="0" borderId="1" xfId="0" applyFont="1" applyBorder="1"/>
    <xf numFmtId="0" fontId="1" fillId="0" borderId="0" xfId="0" applyFont="1" applyAlignment="1">
      <alignment horizontal="left" indent="1"/>
    </xf>
    <xf numFmtId="8" fontId="1" fillId="0" borderId="0" xfId="0" applyNumberFormat="1" applyFont="1"/>
    <xf numFmtId="0" fontId="1" fillId="0" borderId="4" xfId="0" applyFont="1" applyBorder="1"/>
    <xf numFmtId="8" fontId="1" fillId="0" borderId="4" xfId="0" applyNumberFormat="1" applyFont="1" applyBorder="1"/>
    <xf numFmtId="0" fontId="1" fillId="0" borderId="2" xfId="0" applyFont="1" applyBorder="1" applyAlignment="1">
      <alignment horizontal="center" wrapText="1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7" fontId="1" fillId="0" borderId="0" xfId="0" applyNumberFormat="1" applyFont="1" applyAlignment="1">
      <alignment horizontal="right"/>
    </xf>
    <xf numFmtId="167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9" xfId="0" applyFont="1" applyBorder="1"/>
    <xf numFmtId="0" fontId="1" fillId="0" borderId="0" xfId="0" applyFont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3" fontId="1" fillId="0" borderId="16" xfId="0" applyNumberFormat="1" applyFont="1" applyBorder="1"/>
    <xf numFmtId="0" fontId="1" fillId="0" borderId="2" xfId="0" applyFont="1" applyBorder="1"/>
    <xf numFmtId="3" fontId="1" fillId="0" borderId="2" xfId="0" applyNumberFormat="1" applyFont="1" applyBorder="1"/>
    <xf numFmtId="3" fontId="1" fillId="0" borderId="15" xfId="0" applyNumberFormat="1" applyFont="1" applyBorder="1"/>
    <xf numFmtId="164" fontId="1" fillId="0" borderId="0" xfId="1" applyNumberFormat="1" applyFont="1"/>
    <xf numFmtId="164" fontId="1" fillId="0" borderId="16" xfId="1" applyNumberFormat="1" applyFont="1" applyBorder="1"/>
    <xf numFmtId="164" fontId="1" fillId="0" borderId="2" xfId="1" applyNumberFormat="1" applyFont="1" applyBorder="1"/>
    <xf numFmtId="164" fontId="1" fillId="0" borderId="15" xfId="1" applyNumberFormat="1" applyFont="1" applyBorder="1"/>
    <xf numFmtId="0" fontId="1" fillId="0" borderId="22" xfId="0" applyFont="1" applyBorder="1" applyAlignment="1">
      <alignment horizontal="center" wrapText="1"/>
    </xf>
    <xf numFmtId="0" fontId="1" fillId="0" borderId="3" xfId="0" applyFont="1" applyBorder="1"/>
    <xf numFmtId="3" fontId="1" fillId="0" borderId="8" xfId="0" applyNumberFormat="1" applyFont="1" applyBorder="1"/>
    <xf numFmtId="3" fontId="1" fillId="0" borderId="14" xfId="0" applyNumberFormat="1" applyFont="1" applyBorder="1"/>
    <xf numFmtId="3" fontId="1" fillId="0" borderId="11" xfId="0" applyNumberFormat="1" applyFont="1" applyBorder="1"/>
    <xf numFmtId="3" fontId="1" fillId="0" borderId="19" xfId="0" applyNumberFormat="1" applyFont="1" applyBorder="1"/>
    <xf numFmtId="3" fontId="1" fillId="0" borderId="21" xfId="0" applyNumberFormat="1" applyFont="1" applyBorder="1"/>
    <xf numFmtId="168" fontId="1" fillId="0" borderId="0" xfId="0" applyNumberFormat="1" applyFont="1"/>
    <xf numFmtId="168" fontId="1" fillId="0" borderId="11" xfId="0" applyNumberFormat="1" applyFont="1" applyBorder="1"/>
    <xf numFmtId="168" fontId="1" fillId="0" borderId="19" xfId="0" applyNumberFormat="1" applyFont="1" applyBorder="1"/>
    <xf numFmtId="168" fontId="1" fillId="0" borderId="21" xfId="0" applyNumberFormat="1" applyFont="1" applyBorder="1"/>
    <xf numFmtId="9" fontId="1" fillId="0" borderId="0" xfId="1" applyFont="1"/>
    <xf numFmtId="9" fontId="1" fillId="0" borderId="8" xfId="1" applyFont="1" applyBorder="1"/>
    <xf numFmtId="9" fontId="1" fillId="0" borderId="14" xfId="1" applyFont="1" applyBorder="1"/>
    <xf numFmtId="9" fontId="1" fillId="0" borderId="0" xfId="1" applyFont="1" applyBorder="1"/>
    <xf numFmtId="9" fontId="1" fillId="0" borderId="11" xfId="1" applyFont="1" applyBorder="1"/>
    <xf numFmtId="9" fontId="1" fillId="0" borderId="19" xfId="1" applyFont="1" applyBorder="1"/>
    <xf numFmtId="9" fontId="1" fillId="0" borderId="21" xfId="1" applyFont="1" applyBorder="1"/>
    <xf numFmtId="0" fontId="1" fillId="0" borderId="3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3" fontId="5" fillId="3" borderId="7" xfId="0" applyNumberFormat="1" applyFont="1" applyFill="1" applyBorder="1" applyAlignment="1">
      <alignment horizontal="center" vertical="center" wrapText="1"/>
    </xf>
    <xf numFmtId="0" fontId="11" fillId="0" borderId="0" xfId="2" applyAlignment="1">
      <alignment horizontal="left" wrapText="1"/>
    </xf>
    <xf numFmtId="0" fontId="1" fillId="0" borderId="0" xfId="0" applyFont="1" applyAlignment="1">
      <alignment horizontal="center" vertical="center" textRotation="90" wrapText="1"/>
    </xf>
    <xf numFmtId="0" fontId="1" fillId="0" borderId="1" xfId="0" applyFont="1" applyBorder="1" applyAlignment="1">
      <alignment horizontal="center"/>
    </xf>
    <xf numFmtId="0" fontId="13" fillId="0" borderId="0" xfId="0" quotePrefix="1" applyFont="1" applyAlignment="1">
      <alignment horizontal="right" vertical="center" wrapText="1"/>
    </xf>
    <xf numFmtId="0" fontId="13" fillId="0" borderId="0" xfId="0" applyFont="1" applyAlignment="1">
      <alignment horizontal="right" vertical="center" wrapText="1"/>
    </xf>
    <xf numFmtId="0" fontId="13" fillId="0" borderId="2" xfId="0" quotePrefix="1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13" fillId="0" borderId="8" xfId="0" quotePrefix="1" applyFont="1" applyBorder="1" applyAlignment="1">
      <alignment horizontal="right" vertical="center" wrapText="1"/>
    </xf>
    <xf numFmtId="0" fontId="13" fillId="0" borderId="1" xfId="0" quotePrefix="1" applyFont="1" applyBorder="1" applyAlignment="1">
      <alignment horizontal="right" vertical="center" wrapText="1"/>
    </xf>
    <xf numFmtId="0" fontId="13" fillId="0" borderId="4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13" fillId="0" borderId="0" xfId="0" quotePrefix="1" applyFont="1" applyAlignment="1">
      <alignment horizontal="left" vertical="top"/>
    </xf>
    <xf numFmtId="0" fontId="13" fillId="0" borderId="1" xfId="0" quotePrefix="1" applyFont="1" applyBorder="1" applyAlignment="1">
      <alignment horizontal="left" vertical="top"/>
    </xf>
    <xf numFmtId="0" fontId="13" fillId="0" borderId="1" xfId="0" quotePrefix="1" applyFont="1" applyBorder="1" applyAlignment="1">
      <alignment horizontal="center" wrapText="1"/>
    </xf>
    <xf numFmtId="0" fontId="13" fillId="0" borderId="1" xfId="0" quotePrefix="1" applyFont="1" applyBorder="1" applyAlignment="1">
      <alignment horizontal="left" vertical="top" wrapText="1"/>
    </xf>
    <xf numFmtId="0" fontId="13" fillId="0" borderId="4" xfId="0" applyFont="1" applyBorder="1" applyAlignment="1">
      <alignment wrapText="1"/>
    </xf>
    <xf numFmtId="0" fontId="13" fillId="0" borderId="1" xfId="0" quotePrefix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3" fillId="0" borderId="2" xfId="0" applyFont="1" applyBorder="1" applyAlignment="1"/>
    <xf numFmtId="0" fontId="13" fillId="0" borderId="4" xfId="0" applyFont="1" applyBorder="1" applyAlignment="1"/>
    <xf numFmtId="0" fontId="13" fillId="0" borderId="0" xfId="0" applyFont="1" applyAlignment="1"/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'B.Base Year Demographics'!$D$8:$D$9</c:f>
              <c:strCache>
                <c:ptCount val="2"/>
                <c:pt idx="0">
                  <c:v>Population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Demographics'!$D$10:$D$18</c:f>
              <c:numCache>
                <c:formatCode>#,##0</c:formatCode>
                <c:ptCount val="9"/>
                <c:pt idx="0">
                  <c:v>859200</c:v>
                </c:pt>
                <c:pt idx="1">
                  <c:v>758900</c:v>
                </c:pt>
                <c:pt idx="2">
                  <c:v>1889400</c:v>
                </c:pt>
                <c:pt idx="3">
                  <c:v>1593100</c:v>
                </c:pt>
                <c:pt idx="4">
                  <c:v>1110100</c:v>
                </c:pt>
                <c:pt idx="5">
                  <c:v>425900</c:v>
                </c:pt>
                <c:pt idx="6">
                  <c:v>139200</c:v>
                </c:pt>
                <c:pt idx="7">
                  <c:v>497100</c:v>
                </c:pt>
                <c:pt idx="8">
                  <c:v>255900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A-DE47-B2E1-15D8C593CBB4}"/>
            </c:ext>
          </c:extLst>
        </c:ser>
        <c:ser>
          <c:idx val="1"/>
          <c:order val="1"/>
          <c:tx>
            <c:strRef>
              <c:f>'B.Base Year Demographics'!$E$8:$E$9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Demographics'!$E$10:$E$18</c:f>
            </c:numRef>
          </c:val>
          <c:extLst>
            <c:ext xmlns:c16="http://schemas.microsoft.com/office/drawing/2014/chart" uri="{C3380CC4-5D6E-409C-BE32-E72D297353CC}">
              <c16:uniqueId val="{00000001-F5DA-DE47-B2E1-15D8C593CBB4}"/>
            </c:ext>
          </c:extLst>
        </c:ser>
        <c:ser>
          <c:idx val="2"/>
          <c:order val="2"/>
          <c:tx>
            <c:strRef>
              <c:f>'B.Base Year Demographics'!$F$8:$F$9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Demographics'!$F$10:$F$18</c:f>
            </c:numRef>
          </c:val>
          <c:extLst>
            <c:ext xmlns:c16="http://schemas.microsoft.com/office/drawing/2014/chart" uri="{C3380CC4-5D6E-409C-BE32-E72D297353CC}">
              <c16:uniqueId val="{00000002-F5DA-DE47-B2E1-15D8C593CBB4}"/>
            </c:ext>
          </c:extLst>
        </c:ser>
        <c:ser>
          <c:idx val="3"/>
          <c:order val="3"/>
          <c:tx>
            <c:strRef>
              <c:f>'B.Base Year Demographics'!$G$8:$G$9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Demographics'!$G$10:$G$18</c:f>
            </c:numRef>
          </c:val>
          <c:extLst>
            <c:ext xmlns:c16="http://schemas.microsoft.com/office/drawing/2014/chart" uri="{C3380CC4-5D6E-409C-BE32-E72D297353CC}">
              <c16:uniqueId val="{00000003-F5DA-DE47-B2E1-15D8C593CBB4}"/>
            </c:ext>
          </c:extLst>
        </c:ser>
        <c:ser>
          <c:idx val="5"/>
          <c:order val="4"/>
          <c:tx>
            <c:strRef>
              <c:f>'B.Base Year Demographics'!$I$8:$I$9</c:f>
              <c:strCache>
                <c:ptCount val="2"/>
                <c:pt idx="0">
                  <c:v>Population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Demographics'!$I$10:$I$18</c:f>
              <c:numCache>
                <c:formatCode>#,##0</c:formatCode>
                <c:ptCount val="9"/>
                <c:pt idx="0">
                  <c:v>884500</c:v>
                </c:pt>
                <c:pt idx="1">
                  <c:v>774200</c:v>
                </c:pt>
                <c:pt idx="2">
                  <c:v>1927600</c:v>
                </c:pt>
                <c:pt idx="3">
                  <c:v>1625300</c:v>
                </c:pt>
                <c:pt idx="4">
                  <c:v>1132500</c:v>
                </c:pt>
                <c:pt idx="5">
                  <c:v>434500</c:v>
                </c:pt>
                <c:pt idx="6">
                  <c:v>145700</c:v>
                </c:pt>
                <c:pt idx="7">
                  <c:v>511300</c:v>
                </c:pt>
                <c:pt idx="8">
                  <c:v>272600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DA-DE47-B2E1-15D8C593C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9537727"/>
        <c:axId val="796083823"/>
      </c:barChart>
      <c:catAx>
        <c:axId val="7895377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083823"/>
        <c:crosses val="autoZero"/>
        <c:auto val="1"/>
        <c:lblAlgn val="ctr"/>
        <c:lblOffset val="100"/>
        <c:noMultiLvlLbl val="0"/>
      </c:catAx>
      <c:valAx>
        <c:axId val="79608382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53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Households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'B.Base Year Demographics'!$J$8:$J$9</c:f>
              <c:strCache>
                <c:ptCount val="2"/>
                <c:pt idx="0">
                  <c:v>Households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Demographics'!$J$10:$J$18</c:f>
              <c:numCache>
                <c:formatCode>#,##0</c:formatCode>
                <c:ptCount val="9"/>
                <c:pt idx="0">
                  <c:v>353900</c:v>
                </c:pt>
                <c:pt idx="1">
                  <c:v>260900</c:v>
                </c:pt>
                <c:pt idx="2">
                  <c:v>620200</c:v>
                </c:pt>
                <c:pt idx="3">
                  <c:v>551100</c:v>
                </c:pt>
                <c:pt idx="4">
                  <c:v>382200</c:v>
                </c:pt>
                <c:pt idx="5">
                  <c:v>141700</c:v>
                </c:pt>
                <c:pt idx="6">
                  <c:v>49000</c:v>
                </c:pt>
                <c:pt idx="7">
                  <c:v>187100</c:v>
                </c:pt>
                <c:pt idx="8">
                  <c:v>104700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1-F44E-93EE-7399F9B6EC94}"/>
            </c:ext>
          </c:extLst>
        </c:ser>
        <c:ser>
          <c:idx val="1"/>
          <c:order val="1"/>
          <c:tx>
            <c:strRef>
              <c:f>'B.Base Year Demographics'!$K$8:$K$9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Demographics'!$K$10:$K$18</c:f>
            </c:numRef>
          </c:val>
          <c:extLst>
            <c:ext xmlns:c16="http://schemas.microsoft.com/office/drawing/2014/chart" uri="{C3380CC4-5D6E-409C-BE32-E72D297353CC}">
              <c16:uniqueId val="{00000001-B9A1-F44E-93EE-7399F9B6EC94}"/>
            </c:ext>
          </c:extLst>
        </c:ser>
        <c:ser>
          <c:idx val="2"/>
          <c:order val="2"/>
          <c:tx>
            <c:strRef>
              <c:f>'B.Base Year Demographics'!$L$8:$L$9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Demographics'!$L$10:$L$18</c:f>
            </c:numRef>
          </c:val>
          <c:extLst>
            <c:ext xmlns:c16="http://schemas.microsoft.com/office/drawing/2014/chart" uri="{C3380CC4-5D6E-409C-BE32-E72D297353CC}">
              <c16:uniqueId val="{00000002-B9A1-F44E-93EE-7399F9B6EC94}"/>
            </c:ext>
          </c:extLst>
        </c:ser>
        <c:ser>
          <c:idx val="3"/>
          <c:order val="3"/>
          <c:tx>
            <c:strRef>
              <c:f>'B.Base Year Demographics'!$M$8:$M$9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Demographics'!$M$10:$M$18</c:f>
            </c:numRef>
          </c:val>
          <c:extLst>
            <c:ext xmlns:c16="http://schemas.microsoft.com/office/drawing/2014/chart" uri="{C3380CC4-5D6E-409C-BE32-E72D297353CC}">
              <c16:uniqueId val="{00000003-B9A1-F44E-93EE-7399F9B6EC94}"/>
            </c:ext>
          </c:extLst>
        </c:ser>
        <c:ser>
          <c:idx val="5"/>
          <c:order val="4"/>
          <c:tx>
            <c:strRef>
              <c:f>'B.Base Year Demographics'!$O$8:$O$9</c:f>
              <c:strCache>
                <c:ptCount val="2"/>
                <c:pt idx="0">
                  <c:v>Households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Demographics'!$O$10:$O$18</c:f>
              <c:numCache>
                <c:formatCode>#,##0</c:formatCode>
                <c:ptCount val="9"/>
                <c:pt idx="0">
                  <c:v>366200</c:v>
                </c:pt>
                <c:pt idx="1">
                  <c:v>266200</c:v>
                </c:pt>
                <c:pt idx="2">
                  <c:v>632700</c:v>
                </c:pt>
                <c:pt idx="3">
                  <c:v>569600</c:v>
                </c:pt>
                <c:pt idx="4">
                  <c:v>390000</c:v>
                </c:pt>
                <c:pt idx="5">
                  <c:v>147500</c:v>
                </c:pt>
                <c:pt idx="6">
                  <c:v>50400</c:v>
                </c:pt>
                <c:pt idx="7">
                  <c:v>190900</c:v>
                </c:pt>
                <c:pt idx="8">
                  <c:v>108700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A1-F44E-93EE-7399F9B6E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7785551"/>
        <c:axId val="850639103"/>
      </c:barChart>
      <c:catAx>
        <c:axId val="8177855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39103"/>
        <c:crosses val="autoZero"/>
        <c:auto val="1"/>
        <c:lblAlgn val="ctr"/>
        <c:lblOffset val="100"/>
        <c:noMultiLvlLbl val="0"/>
      </c:catAx>
      <c:valAx>
        <c:axId val="85063910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8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'B.Base Year Demographics'!$D$27:$D$28</c:f>
              <c:strCache>
                <c:ptCount val="2"/>
                <c:pt idx="0">
                  <c:v>Population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Demographics'!$D$29:$D$59</c:f>
              <c:numCache>
                <c:formatCode>#,##0</c:formatCode>
                <c:ptCount val="31"/>
                <c:pt idx="0">
                  <c:v>859200</c:v>
                </c:pt>
                <c:pt idx="1">
                  <c:v>301000</c:v>
                </c:pt>
                <c:pt idx="2">
                  <c:v>221900</c:v>
                </c:pt>
                <c:pt idx="3">
                  <c:v>232300</c:v>
                </c:pt>
                <c:pt idx="4">
                  <c:v>188400</c:v>
                </c:pt>
                <c:pt idx="5">
                  <c:v>280200</c:v>
                </c:pt>
                <c:pt idx="6">
                  <c:v>329200</c:v>
                </c:pt>
                <c:pt idx="7">
                  <c:v>321800</c:v>
                </c:pt>
                <c:pt idx="8">
                  <c:v>415600</c:v>
                </c:pt>
                <c:pt idx="9">
                  <c:v>229800</c:v>
                </c:pt>
                <c:pt idx="10">
                  <c:v>118400</c:v>
                </c:pt>
                <c:pt idx="11">
                  <c:v>211100</c:v>
                </c:pt>
                <c:pt idx="12">
                  <c:v>342800</c:v>
                </c:pt>
                <c:pt idx="13">
                  <c:v>376000</c:v>
                </c:pt>
                <c:pt idx="14">
                  <c:v>475100</c:v>
                </c:pt>
                <c:pt idx="15">
                  <c:v>179500</c:v>
                </c:pt>
                <c:pt idx="16">
                  <c:v>261500</c:v>
                </c:pt>
                <c:pt idx="17">
                  <c:v>235000</c:v>
                </c:pt>
                <c:pt idx="18">
                  <c:v>148100</c:v>
                </c:pt>
                <c:pt idx="19">
                  <c:v>152200</c:v>
                </c:pt>
                <c:pt idx="20">
                  <c:v>309100</c:v>
                </c:pt>
                <c:pt idx="21">
                  <c:v>148800</c:v>
                </c:pt>
                <c:pt idx="22">
                  <c:v>275900</c:v>
                </c:pt>
                <c:pt idx="23">
                  <c:v>102000</c:v>
                </c:pt>
                <c:pt idx="24">
                  <c:v>36900</c:v>
                </c:pt>
                <c:pt idx="25">
                  <c:v>170800</c:v>
                </c:pt>
                <c:pt idx="26">
                  <c:v>241000</c:v>
                </c:pt>
                <c:pt idx="27">
                  <c:v>81800</c:v>
                </c:pt>
                <c:pt idx="28">
                  <c:v>61500</c:v>
                </c:pt>
                <c:pt idx="29">
                  <c:v>107000</c:v>
                </c:pt>
                <c:pt idx="30">
                  <c:v>86600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7-9040-B4E0-8A515D362C34}"/>
            </c:ext>
          </c:extLst>
        </c:ser>
        <c:ser>
          <c:idx val="1"/>
          <c:order val="1"/>
          <c:tx>
            <c:strRef>
              <c:f>'B.Base Year Demographics'!$E$27:$E$28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Demographics'!$E$29:$E$59</c:f>
            </c:numRef>
          </c:val>
          <c:extLst>
            <c:ext xmlns:c16="http://schemas.microsoft.com/office/drawing/2014/chart" uri="{C3380CC4-5D6E-409C-BE32-E72D297353CC}">
              <c16:uniqueId val="{00000001-E2B7-9040-B4E0-8A515D362C34}"/>
            </c:ext>
          </c:extLst>
        </c:ser>
        <c:ser>
          <c:idx val="2"/>
          <c:order val="2"/>
          <c:tx>
            <c:strRef>
              <c:f>'B.Base Year Demographics'!$F$27:$F$28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Demographics'!$F$29:$F$59</c:f>
            </c:numRef>
          </c:val>
          <c:extLst>
            <c:ext xmlns:c16="http://schemas.microsoft.com/office/drawing/2014/chart" uri="{C3380CC4-5D6E-409C-BE32-E72D297353CC}">
              <c16:uniqueId val="{00000002-E2B7-9040-B4E0-8A515D362C34}"/>
            </c:ext>
          </c:extLst>
        </c:ser>
        <c:ser>
          <c:idx val="3"/>
          <c:order val="3"/>
          <c:tx>
            <c:strRef>
              <c:f>'B.Base Year Demographics'!$G$27:$G$28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Demographics'!$G$29:$G$59</c:f>
            </c:numRef>
          </c:val>
          <c:extLst>
            <c:ext xmlns:c16="http://schemas.microsoft.com/office/drawing/2014/chart" uri="{C3380CC4-5D6E-409C-BE32-E72D297353CC}">
              <c16:uniqueId val="{00000003-E2B7-9040-B4E0-8A515D362C34}"/>
            </c:ext>
          </c:extLst>
        </c:ser>
        <c:ser>
          <c:idx val="5"/>
          <c:order val="4"/>
          <c:tx>
            <c:strRef>
              <c:f>'B.Base Year Demographics'!$I$27:$I$28</c:f>
              <c:strCache>
                <c:ptCount val="2"/>
                <c:pt idx="0">
                  <c:v>Population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Demographics'!$I$29:$I$59</c:f>
              <c:numCache>
                <c:formatCode>#,##0</c:formatCode>
                <c:ptCount val="31"/>
                <c:pt idx="0">
                  <c:v>884500</c:v>
                </c:pt>
                <c:pt idx="1">
                  <c:v>307000</c:v>
                </c:pt>
                <c:pt idx="2">
                  <c:v>233000</c:v>
                </c:pt>
                <c:pt idx="3">
                  <c:v>237900</c:v>
                </c:pt>
                <c:pt idx="4">
                  <c:v>195700</c:v>
                </c:pt>
                <c:pt idx="5">
                  <c:v>289400</c:v>
                </c:pt>
                <c:pt idx="6">
                  <c:v>340800</c:v>
                </c:pt>
                <c:pt idx="7">
                  <c:v>328500</c:v>
                </c:pt>
                <c:pt idx="8">
                  <c:v>424000</c:v>
                </c:pt>
                <c:pt idx="9">
                  <c:v>234500</c:v>
                </c:pt>
                <c:pt idx="10">
                  <c:v>120800</c:v>
                </c:pt>
                <c:pt idx="11">
                  <c:v>226900</c:v>
                </c:pt>
                <c:pt idx="12">
                  <c:v>349700</c:v>
                </c:pt>
                <c:pt idx="13">
                  <c:v>389500</c:v>
                </c:pt>
                <c:pt idx="14">
                  <c:v>484700</c:v>
                </c:pt>
                <c:pt idx="15">
                  <c:v>183100</c:v>
                </c:pt>
                <c:pt idx="16">
                  <c:v>266800</c:v>
                </c:pt>
                <c:pt idx="17">
                  <c:v>241500</c:v>
                </c:pt>
                <c:pt idx="18">
                  <c:v>151000</c:v>
                </c:pt>
                <c:pt idx="19">
                  <c:v>162000</c:v>
                </c:pt>
                <c:pt idx="20">
                  <c:v>315400</c:v>
                </c:pt>
                <c:pt idx="21">
                  <c:v>154300</c:v>
                </c:pt>
                <c:pt idx="22">
                  <c:v>281500</c:v>
                </c:pt>
                <c:pt idx="23">
                  <c:v>104000</c:v>
                </c:pt>
                <c:pt idx="24">
                  <c:v>42000</c:v>
                </c:pt>
                <c:pt idx="25">
                  <c:v>175300</c:v>
                </c:pt>
                <c:pt idx="26">
                  <c:v>245900</c:v>
                </c:pt>
                <c:pt idx="27">
                  <c:v>93600</c:v>
                </c:pt>
                <c:pt idx="28">
                  <c:v>62700</c:v>
                </c:pt>
                <c:pt idx="29">
                  <c:v>113900</c:v>
                </c:pt>
                <c:pt idx="30">
                  <c:v>96800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B7-9040-B4E0-8A515D362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5896911"/>
        <c:axId val="857814303"/>
      </c:barChart>
      <c:catAx>
        <c:axId val="855896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814303"/>
        <c:crosses val="autoZero"/>
        <c:auto val="1"/>
        <c:lblAlgn val="ctr"/>
        <c:lblOffset val="100"/>
        <c:noMultiLvlLbl val="0"/>
      </c:catAx>
      <c:valAx>
        <c:axId val="85781430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9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Households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'B.Base Year Demographics'!$J$27:$J$28</c:f>
              <c:strCache>
                <c:ptCount val="2"/>
                <c:pt idx="0">
                  <c:v>Households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Demographics'!$J$29:$J$59</c:f>
              <c:numCache>
                <c:formatCode>#,##0</c:formatCode>
                <c:ptCount val="31"/>
                <c:pt idx="0">
                  <c:v>353900</c:v>
                </c:pt>
                <c:pt idx="1">
                  <c:v>97400</c:v>
                </c:pt>
                <c:pt idx="2">
                  <c:v>83200</c:v>
                </c:pt>
                <c:pt idx="3">
                  <c:v>79100</c:v>
                </c:pt>
                <c:pt idx="4">
                  <c:v>71100</c:v>
                </c:pt>
                <c:pt idx="5">
                  <c:v>104600</c:v>
                </c:pt>
                <c:pt idx="6">
                  <c:v>118700</c:v>
                </c:pt>
                <c:pt idx="7">
                  <c:v>104900</c:v>
                </c:pt>
                <c:pt idx="8">
                  <c:v>108000</c:v>
                </c:pt>
                <c:pt idx="9">
                  <c:v>73100</c:v>
                </c:pt>
                <c:pt idx="10">
                  <c:v>34700</c:v>
                </c:pt>
                <c:pt idx="11">
                  <c:v>72300</c:v>
                </c:pt>
                <c:pt idx="12">
                  <c:v>104900</c:v>
                </c:pt>
                <c:pt idx="13">
                  <c:v>120300</c:v>
                </c:pt>
                <c:pt idx="14">
                  <c:v>179200</c:v>
                </c:pt>
                <c:pt idx="15">
                  <c:v>72000</c:v>
                </c:pt>
                <c:pt idx="16">
                  <c:v>88700</c:v>
                </c:pt>
                <c:pt idx="17">
                  <c:v>84700</c:v>
                </c:pt>
                <c:pt idx="18">
                  <c:v>60100</c:v>
                </c:pt>
                <c:pt idx="19">
                  <c:v>52200</c:v>
                </c:pt>
                <c:pt idx="20">
                  <c:v>93700</c:v>
                </c:pt>
                <c:pt idx="21">
                  <c:v>52300</c:v>
                </c:pt>
                <c:pt idx="22">
                  <c:v>89200</c:v>
                </c:pt>
                <c:pt idx="23">
                  <c:v>34100</c:v>
                </c:pt>
                <c:pt idx="24">
                  <c:v>14600</c:v>
                </c:pt>
                <c:pt idx="25">
                  <c:v>64100</c:v>
                </c:pt>
                <c:pt idx="26">
                  <c:v>88000</c:v>
                </c:pt>
                <c:pt idx="27">
                  <c:v>32100</c:v>
                </c:pt>
                <c:pt idx="28">
                  <c:v>23100</c:v>
                </c:pt>
                <c:pt idx="29">
                  <c:v>42400</c:v>
                </c:pt>
                <c:pt idx="30">
                  <c:v>37800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1-2C40-BC6C-26246ED9BC15}"/>
            </c:ext>
          </c:extLst>
        </c:ser>
        <c:ser>
          <c:idx val="1"/>
          <c:order val="1"/>
          <c:tx>
            <c:strRef>
              <c:f>'B.Base Year Demographics'!$K$27:$K$28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Demographics'!$K$29:$K$59</c:f>
            </c:numRef>
          </c:val>
          <c:extLst>
            <c:ext xmlns:c16="http://schemas.microsoft.com/office/drawing/2014/chart" uri="{C3380CC4-5D6E-409C-BE32-E72D297353CC}">
              <c16:uniqueId val="{00000001-7161-2C40-BC6C-26246ED9BC15}"/>
            </c:ext>
          </c:extLst>
        </c:ser>
        <c:ser>
          <c:idx val="2"/>
          <c:order val="2"/>
          <c:tx>
            <c:strRef>
              <c:f>'B.Base Year Demographics'!$L$27:$L$28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Demographics'!$L$29:$L$59</c:f>
            </c:numRef>
          </c:val>
          <c:extLst>
            <c:ext xmlns:c16="http://schemas.microsoft.com/office/drawing/2014/chart" uri="{C3380CC4-5D6E-409C-BE32-E72D297353CC}">
              <c16:uniqueId val="{00000002-7161-2C40-BC6C-26246ED9BC15}"/>
            </c:ext>
          </c:extLst>
        </c:ser>
        <c:ser>
          <c:idx val="3"/>
          <c:order val="3"/>
          <c:tx>
            <c:strRef>
              <c:f>'B.Base Year Demographics'!$M$27:$M$28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Demographics'!$M$29:$M$59</c:f>
            </c:numRef>
          </c:val>
          <c:extLst>
            <c:ext xmlns:c16="http://schemas.microsoft.com/office/drawing/2014/chart" uri="{C3380CC4-5D6E-409C-BE32-E72D297353CC}">
              <c16:uniqueId val="{00000003-7161-2C40-BC6C-26246ED9BC15}"/>
            </c:ext>
          </c:extLst>
        </c:ser>
        <c:ser>
          <c:idx val="5"/>
          <c:order val="4"/>
          <c:tx>
            <c:strRef>
              <c:f>'B.Base Year Demographics'!$O$27:$O$28</c:f>
              <c:strCache>
                <c:ptCount val="2"/>
                <c:pt idx="0">
                  <c:v>Households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Demographics'!$O$29:$O$59</c:f>
              <c:numCache>
                <c:formatCode>#,##0</c:formatCode>
                <c:ptCount val="31"/>
                <c:pt idx="0">
                  <c:v>366200</c:v>
                </c:pt>
                <c:pt idx="1">
                  <c:v>99400</c:v>
                </c:pt>
                <c:pt idx="2">
                  <c:v>87300</c:v>
                </c:pt>
                <c:pt idx="3">
                  <c:v>80700</c:v>
                </c:pt>
                <c:pt idx="4">
                  <c:v>73900</c:v>
                </c:pt>
                <c:pt idx="5">
                  <c:v>107100</c:v>
                </c:pt>
                <c:pt idx="6">
                  <c:v>121100</c:v>
                </c:pt>
                <c:pt idx="7">
                  <c:v>108500</c:v>
                </c:pt>
                <c:pt idx="8">
                  <c:v>114700</c:v>
                </c:pt>
                <c:pt idx="9">
                  <c:v>75000</c:v>
                </c:pt>
                <c:pt idx="10">
                  <c:v>37400</c:v>
                </c:pt>
                <c:pt idx="11">
                  <c:v>79900</c:v>
                </c:pt>
                <c:pt idx="12">
                  <c:v>107800</c:v>
                </c:pt>
                <c:pt idx="13">
                  <c:v>128100</c:v>
                </c:pt>
                <c:pt idx="14">
                  <c:v>182800</c:v>
                </c:pt>
                <c:pt idx="15">
                  <c:v>73400</c:v>
                </c:pt>
                <c:pt idx="16">
                  <c:v>90500</c:v>
                </c:pt>
                <c:pt idx="17">
                  <c:v>89500</c:v>
                </c:pt>
                <c:pt idx="18">
                  <c:v>61300</c:v>
                </c:pt>
                <c:pt idx="19">
                  <c:v>54600</c:v>
                </c:pt>
                <c:pt idx="20">
                  <c:v>96900</c:v>
                </c:pt>
                <c:pt idx="21">
                  <c:v>53400</c:v>
                </c:pt>
                <c:pt idx="22">
                  <c:v>94200</c:v>
                </c:pt>
                <c:pt idx="23">
                  <c:v>34800</c:v>
                </c:pt>
                <c:pt idx="24">
                  <c:v>16000</c:v>
                </c:pt>
                <c:pt idx="25">
                  <c:v>65400</c:v>
                </c:pt>
                <c:pt idx="26">
                  <c:v>92700</c:v>
                </c:pt>
                <c:pt idx="27">
                  <c:v>35700</c:v>
                </c:pt>
                <c:pt idx="28">
                  <c:v>24600</c:v>
                </c:pt>
                <c:pt idx="29">
                  <c:v>44100</c:v>
                </c:pt>
                <c:pt idx="30">
                  <c:v>41500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61-2C40-BC6C-26246ED9B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6594463"/>
        <c:axId val="858774175"/>
      </c:barChart>
      <c:catAx>
        <c:axId val="8565944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774175"/>
        <c:crosses val="autoZero"/>
        <c:auto val="1"/>
        <c:lblAlgn val="ctr"/>
        <c:lblOffset val="100"/>
        <c:noMultiLvlLbl val="0"/>
      </c:catAx>
      <c:valAx>
        <c:axId val="85877417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59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Non-Institutional</a:t>
            </a:r>
            <a:r>
              <a:rPr lang="en-US" baseline="0"/>
              <a:t> Group Quarters Population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'B.Base Year Demographics'!$P$8:$P$9</c:f>
              <c:strCache>
                <c:ptCount val="2"/>
                <c:pt idx="0">
                  <c:v>Non-Institutional Group Quarters Population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Demographics'!$P$10:$P$18</c:f>
              <c:numCache>
                <c:formatCode>#,##0</c:formatCode>
                <c:ptCount val="9"/>
                <c:pt idx="0">
                  <c:v>16100</c:v>
                </c:pt>
                <c:pt idx="1">
                  <c:v>6200</c:v>
                </c:pt>
                <c:pt idx="2">
                  <c:v>25900</c:v>
                </c:pt>
                <c:pt idx="3">
                  <c:v>24700</c:v>
                </c:pt>
                <c:pt idx="4">
                  <c:v>5500</c:v>
                </c:pt>
                <c:pt idx="5">
                  <c:v>2000</c:v>
                </c:pt>
                <c:pt idx="6">
                  <c:v>2400</c:v>
                </c:pt>
                <c:pt idx="7">
                  <c:v>5100</c:v>
                </c:pt>
                <c:pt idx="8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E-EF49-8B74-D8F16A7DF182}"/>
            </c:ext>
          </c:extLst>
        </c:ser>
        <c:ser>
          <c:idx val="1"/>
          <c:order val="1"/>
          <c:tx>
            <c:strRef>
              <c:f>'B.Base Year Demographics'!$Q$8:$Q$9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Demographics'!$Q$10:$Q$18</c:f>
            </c:numRef>
          </c:val>
          <c:extLst>
            <c:ext xmlns:c16="http://schemas.microsoft.com/office/drawing/2014/chart" uri="{C3380CC4-5D6E-409C-BE32-E72D297353CC}">
              <c16:uniqueId val="{00000001-216E-EF49-8B74-D8F16A7DF182}"/>
            </c:ext>
          </c:extLst>
        </c:ser>
        <c:ser>
          <c:idx val="2"/>
          <c:order val="2"/>
          <c:tx>
            <c:strRef>
              <c:f>'B.Base Year Demographics'!$R$8:$R$9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Demographics'!$R$10:$R$18</c:f>
            </c:numRef>
          </c:val>
          <c:extLst>
            <c:ext xmlns:c16="http://schemas.microsoft.com/office/drawing/2014/chart" uri="{C3380CC4-5D6E-409C-BE32-E72D297353CC}">
              <c16:uniqueId val="{00000002-216E-EF49-8B74-D8F16A7DF182}"/>
            </c:ext>
          </c:extLst>
        </c:ser>
        <c:ser>
          <c:idx val="3"/>
          <c:order val="3"/>
          <c:tx>
            <c:strRef>
              <c:f>'B.Base Year Demographics'!$S$8:$S$9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Demographics'!$S$10:$S$18</c:f>
            </c:numRef>
          </c:val>
          <c:extLst>
            <c:ext xmlns:c16="http://schemas.microsoft.com/office/drawing/2014/chart" uri="{C3380CC4-5D6E-409C-BE32-E72D297353CC}">
              <c16:uniqueId val="{00000003-216E-EF49-8B74-D8F16A7DF182}"/>
            </c:ext>
          </c:extLst>
        </c:ser>
        <c:ser>
          <c:idx val="5"/>
          <c:order val="4"/>
          <c:tx>
            <c:strRef>
              <c:f>'B.Base Year Demographics'!$U$8:$U$9</c:f>
              <c:strCache>
                <c:ptCount val="2"/>
                <c:pt idx="0">
                  <c:v>Non-Institutional Group Quarters Population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Demographics'!$U$10:$U$18</c:f>
              <c:numCache>
                <c:formatCode>#,##0</c:formatCode>
                <c:ptCount val="9"/>
                <c:pt idx="0">
                  <c:v>39100</c:v>
                </c:pt>
                <c:pt idx="1">
                  <c:v>45200</c:v>
                </c:pt>
                <c:pt idx="2">
                  <c:v>119600</c:v>
                </c:pt>
                <c:pt idx="3">
                  <c:v>97400</c:v>
                </c:pt>
                <c:pt idx="4">
                  <c:v>65400</c:v>
                </c:pt>
                <c:pt idx="5">
                  <c:v>26500</c:v>
                </c:pt>
                <c:pt idx="6">
                  <c:v>7500</c:v>
                </c:pt>
                <c:pt idx="7">
                  <c:v>26100</c:v>
                </c:pt>
                <c:pt idx="8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6E-EF49-8B74-D8F16A7DF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0399119"/>
        <c:axId val="860598943"/>
      </c:barChart>
      <c:catAx>
        <c:axId val="8603991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598943"/>
        <c:crosses val="autoZero"/>
        <c:auto val="1"/>
        <c:lblAlgn val="ctr"/>
        <c:lblOffset val="100"/>
        <c:noMultiLvlLbl val="0"/>
      </c:catAx>
      <c:valAx>
        <c:axId val="86059894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39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Non-Institutional</a:t>
            </a:r>
            <a:r>
              <a:rPr lang="en-US" baseline="0"/>
              <a:t> Group Quarters Population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'B.Base Year Demographics'!$P$27:$P$28</c:f>
              <c:strCache>
                <c:ptCount val="2"/>
                <c:pt idx="0">
                  <c:v>Non-Institutional Group Quarters Population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Demographics'!$P$29:$P$59</c:f>
              <c:numCache>
                <c:formatCode>#,##0</c:formatCode>
                <c:ptCount val="31"/>
                <c:pt idx="0">
                  <c:v>16100</c:v>
                </c:pt>
                <c:pt idx="1">
                  <c:v>1700</c:v>
                </c:pt>
                <c:pt idx="2">
                  <c:v>1900</c:v>
                </c:pt>
                <c:pt idx="3">
                  <c:v>2600</c:v>
                </c:pt>
                <c:pt idx="4">
                  <c:v>8600</c:v>
                </c:pt>
                <c:pt idx="5">
                  <c:v>900</c:v>
                </c:pt>
                <c:pt idx="6">
                  <c:v>700</c:v>
                </c:pt>
                <c:pt idx="7">
                  <c:v>11300</c:v>
                </c:pt>
                <c:pt idx="8">
                  <c:v>2200</c:v>
                </c:pt>
                <c:pt idx="9">
                  <c:v>900</c:v>
                </c:pt>
                <c:pt idx="10">
                  <c:v>1200</c:v>
                </c:pt>
                <c:pt idx="11">
                  <c:v>800</c:v>
                </c:pt>
                <c:pt idx="12">
                  <c:v>1500</c:v>
                </c:pt>
                <c:pt idx="13">
                  <c:v>3000</c:v>
                </c:pt>
                <c:pt idx="14">
                  <c:v>5900</c:v>
                </c:pt>
                <c:pt idx="15">
                  <c:v>8500</c:v>
                </c:pt>
                <c:pt idx="16">
                  <c:v>1100</c:v>
                </c:pt>
                <c:pt idx="17">
                  <c:v>1100</c:v>
                </c:pt>
                <c:pt idx="18">
                  <c:v>2000</c:v>
                </c:pt>
                <c:pt idx="19">
                  <c:v>300</c:v>
                </c:pt>
                <c:pt idx="20">
                  <c:v>1000</c:v>
                </c:pt>
                <c:pt idx="21">
                  <c:v>1000</c:v>
                </c:pt>
                <c:pt idx="22">
                  <c:v>1100</c:v>
                </c:pt>
                <c:pt idx="23">
                  <c:v>900</c:v>
                </c:pt>
                <c:pt idx="24">
                  <c:v>1300</c:v>
                </c:pt>
                <c:pt idx="25">
                  <c:v>2700</c:v>
                </c:pt>
                <c:pt idx="26">
                  <c:v>1800</c:v>
                </c:pt>
                <c:pt idx="27">
                  <c:v>600</c:v>
                </c:pt>
                <c:pt idx="28">
                  <c:v>500</c:v>
                </c:pt>
                <c:pt idx="29">
                  <c:v>1800</c:v>
                </c:pt>
                <c:pt idx="3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9-B944-9EB7-DC70B94BBCD3}"/>
            </c:ext>
          </c:extLst>
        </c:ser>
        <c:ser>
          <c:idx val="1"/>
          <c:order val="1"/>
          <c:tx>
            <c:strRef>
              <c:f>'B.Base Year Demographics'!$Q$27:$Q$28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Demographics'!$Q$29:$Q$59</c:f>
            </c:numRef>
          </c:val>
          <c:extLst>
            <c:ext xmlns:c16="http://schemas.microsoft.com/office/drawing/2014/chart" uri="{C3380CC4-5D6E-409C-BE32-E72D297353CC}">
              <c16:uniqueId val="{00000001-5BE9-B944-9EB7-DC70B94BBCD3}"/>
            </c:ext>
          </c:extLst>
        </c:ser>
        <c:ser>
          <c:idx val="2"/>
          <c:order val="2"/>
          <c:tx>
            <c:strRef>
              <c:f>'B.Base Year Demographics'!$R$27:$R$28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Demographics'!$R$29:$R$59</c:f>
            </c:numRef>
          </c:val>
          <c:extLst>
            <c:ext xmlns:c16="http://schemas.microsoft.com/office/drawing/2014/chart" uri="{C3380CC4-5D6E-409C-BE32-E72D297353CC}">
              <c16:uniqueId val="{00000002-5BE9-B944-9EB7-DC70B94BBCD3}"/>
            </c:ext>
          </c:extLst>
        </c:ser>
        <c:ser>
          <c:idx val="3"/>
          <c:order val="3"/>
          <c:tx>
            <c:strRef>
              <c:f>'B.Base Year Demographics'!$S$27:$S$28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Demographics'!$S$29:$S$59</c:f>
            </c:numRef>
          </c:val>
          <c:extLst>
            <c:ext xmlns:c16="http://schemas.microsoft.com/office/drawing/2014/chart" uri="{C3380CC4-5D6E-409C-BE32-E72D297353CC}">
              <c16:uniqueId val="{00000003-5BE9-B944-9EB7-DC70B94BBCD3}"/>
            </c:ext>
          </c:extLst>
        </c:ser>
        <c:ser>
          <c:idx val="5"/>
          <c:order val="4"/>
          <c:tx>
            <c:strRef>
              <c:f>'B.Base Year Demographics'!$U$27:$U$28</c:f>
              <c:strCache>
                <c:ptCount val="2"/>
                <c:pt idx="0">
                  <c:v>Non-Institutional Group Quarters Population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Demographics'!$U$29:$U$59</c:f>
              <c:numCache>
                <c:formatCode>#,##0</c:formatCode>
                <c:ptCount val="31"/>
                <c:pt idx="0">
                  <c:v>39100</c:v>
                </c:pt>
                <c:pt idx="1">
                  <c:v>15900</c:v>
                </c:pt>
                <c:pt idx="2">
                  <c:v>13700</c:v>
                </c:pt>
                <c:pt idx="3">
                  <c:v>15600</c:v>
                </c:pt>
                <c:pt idx="4">
                  <c:v>9100</c:v>
                </c:pt>
                <c:pt idx="5">
                  <c:v>22000</c:v>
                </c:pt>
                <c:pt idx="6">
                  <c:v>18000</c:v>
                </c:pt>
                <c:pt idx="7">
                  <c:v>21800</c:v>
                </c:pt>
                <c:pt idx="8">
                  <c:v>25100</c:v>
                </c:pt>
                <c:pt idx="9">
                  <c:v>15500</c:v>
                </c:pt>
                <c:pt idx="10">
                  <c:v>8000</c:v>
                </c:pt>
                <c:pt idx="11">
                  <c:v>13800</c:v>
                </c:pt>
                <c:pt idx="12">
                  <c:v>21500</c:v>
                </c:pt>
                <c:pt idx="13">
                  <c:v>24300</c:v>
                </c:pt>
                <c:pt idx="14">
                  <c:v>29300</c:v>
                </c:pt>
                <c:pt idx="15">
                  <c:v>13400</c:v>
                </c:pt>
                <c:pt idx="16">
                  <c:v>15100</c:v>
                </c:pt>
                <c:pt idx="17">
                  <c:v>15100</c:v>
                </c:pt>
                <c:pt idx="18">
                  <c:v>6800</c:v>
                </c:pt>
                <c:pt idx="19">
                  <c:v>8400</c:v>
                </c:pt>
                <c:pt idx="20">
                  <c:v>20000</c:v>
                </c:pt>
                <c:pt idx="21">
                  <c:v>9400</c:v>
                </c:pt>
                <c:pt idx="22">
                  <c:v>17100</c:v>
                </c:pt>
                <c:pt idx="23">
                  <c:v>6200</c:v>
                </c:pt>
                <c:pt idx="24">
                  <c:v>1600</c:v>
                </c:pt>
                <c:pt idx="25">
                  <c:v>9000</c:v>
                </c:pt>
                <c:pt idx="26">
                  <c:v>13700</c:v>
                </c:pt>
                <c:pt idx="27">
                  <c:v>3300</c:v>
                </c:pt>
                <c:pt idx="28">
                  <c:v>3100</c:v>
                </c:pt>
                <c:pt idx="29">
                  <c:v>5600</c:v>
                </c:pt>
                <c:pt idx="30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E9-B944-9EB7-DC70B94BB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4664111"/>
        <c:axId val="819546207"/>
      </c:barChart>
      <c:catAx>
        <c:axId val="7946641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546207"/>
        <c:crosses val="autoZero"/>
        <c:auto val="1"/>
        <c:lblAlgn val="ctr"/>
        <c:lblOffset val="100"/>
        <c:noMultiLvlLbl val="0"/>
      </c:catAx>
      <c:valAx>
        <c:axId val="8195462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664111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'B.Base Year Demographics'!$V$8:$V$9</c:f>
              <c:strCache>
                <c:ptCount val="2"/>
                <c:pt idx="0">
                  <c:v>Jobs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Demographics'!$V$10:$V$18</c:f>
              <c:numCache>
                <c:formatCode>#,##0</c:formatCode>
                <c:ptCount val="9"/>
                <c:pt idx="0">
                  <c:v>636600</c:v>
                </c:pt>
                <c:pt idx="1">
                  <c:v>390100</c:v>
                </c:pt>
                <c:pt idx="2">
                  <c:v>988700</c:v>
                </c:pt>
                <c:pt idx="3">
                  <c:v>801800</c:v>
                </c:pt>
                <c:pt idx="4">
                  <c:v>403100</c:v>
                </c:pt>
                <c:pt idx="5">
                  <c:v>131900</c:v>
                </c:pt>
                <c:pt idx="6">
                  <c:v>71400</c:v>
                </c:pt>
                <c:pt idx="7">
                  <c:v>220700</c:v>
                </c:pt>
                <c:pt idx="8">
                  <c:v>134800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4-E543-A50D-E06C550CD57A}"/>
            </c:ext>
          </c:extLst>
        </c:ser>
        <c:ser>
          <c:idx val="1"/>
          <c:order val="1"/>
          <c:tx>
            <c:strRef>
              <c:f>'B.Base Year Demographics'!$W$8:$W$9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Demographics'!$W$10:$W$18</c:f>
            </c:numRef>
          </c:val>
          <c:extLst>
            <c:ext xmlns:c16="http://schemas.microsoft.com/office/drawing/2014/chart" uri="{C3380CC4-5D6E-409C-BE32-E72D297353CC}">
              <c16:uniqueId val="{00000001-9F44-E543-A50D-E06C550CD57A}"/>
            </c:ext>
          </c:extLst>
        </c:ser>
        <c:ser>
          <c:idx val="2"/>
          <c:order val="2"/>
          <c:tx>
            <c:strRef>
              <c:f>'B.Base Year Demographics'!$X$8:$X$9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Demographics'!$X$10:$X$18</c:f>
            </c:numRef>
          </c:val>
          <c:extLst>
            <c:ext xmlns:c16="http://schemas.microsoft.com/office/drawing/2014/chart" uri="{C3380CC4-5D6E-409C-BE32-E72D297353CC}">
              <c16:uniqueId val="{00000002-9F44-E543-A50D-E06C550CD57A}"/>
            </c:ext>
          </c:extLst>
        </c:ser>
        <c:ser>
          <c:idx val="3"/>
          <c:order val="3"/>
          <c:tx>
            <c:strRef>
              <c:f>'B.Base Year Demographics'!$Y$8:$Y$9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Demographics'!$Y$10:$Y$18</c:f>
            </c:numRef>
          </c:val>
          <c:extLst>
            <c:ext xmlns:c16="http://schemas.microsoft.com/office/drawing/2014/chart" uri="{C3380CC4-5D6E-409C-BE32-E72D297353CC}">
              <c16:uniqueId val="{00000003-9F44-E543-A50D-E06C550CD57A}"/>
            </c:ext>
          </c:extLst>
        </c:ser>
        <c:ser>
          <c:idx val="5"/>
          <c:order val="4"/>
          <c:tx>
            <c:strRef>
              <c:f>'B.Base Year Demographics'!$AA$8:$AA$9</c:f>
              <c:strCache>
                <c:ptCount val="2"/>
                <c:pt idx="0">
                  <c:v>Jobs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Demographics'!$AA$10:$AA$18</c:f>
              <c:numCache>
                <c:formatCode>#,##0</c:formatCode>
                <c:ptCount val="9"/>
                <c:pt idx="0">
                  <c:v>682600</c:v>
                </c:pt>
                <c:pt idx="1">
                  <c:v>398000</c:v>
                </c:pt>
                <c:pt idx="2">
                  <c:v>1100500</c:v>
                </c:pt>
                <c:pt idx="3">
                  <c:v>867600</c:v>
                </c:pt>
                <c:pt idx="4">
                  <c:v>416300</c:v>
                </c:pt>
                <c:pt idx="5">
                  <c:v>157700</c:v>
                </c:pt>
                <c:pt idx="6">
                  <c:v>86100</c:v>
                </c:pt>
                <c:pt idx="7">
                  <c:v>241100</c:v>
                </c:pt>
                <c:pt idx="8">
                  <c:v>137500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44-E543-A50D-E06C550CD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9937695"/>
        <c:axId val="774158207"/>
      </c:barChart>
      <c:catAx>
        <c:axId val="7799376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58207"/>
        <c:crosses val="autoZero"/>
        <c:auto val="1"/>
        <c:lblAlgn val="ctr"/>
        <c:lblOffset val="100"/>
        <c:noMultiLvlLbl val="0"/>
      </c:catAx>
      <c:valAx>
        <c:axId val="7741582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93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'B.Base Year Demographics'!$V$27:$V$28</c:f>
              <c:strCache>
                <c:ptCount val="2"/>
                <c:pt idx="0">
                  <c:v>Jobs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Demographics'!$V$29:$V$59</c:f>
              <c:numCache>
                <c:formatCode>#,##0</c:formatCode>
                <c:ptCount val="31"/>
                <c:pt idx="0">
                  <c:v>636600</c:v>
                </c:pt>
                <c:pt idx="1">
                  <c:v>130200</c:v>
                </c:pt>
                <c:pt idx="2">
                  <c:v>110100</c:v>
                </c:pt>
                <c:pt idx="3">
                  <c:v>142100</c:v>
                </c:pt>
                <c:pt idx="4">
                  <c:v>126500</c:v>
                </c:pt>
                <c:pt idx="5">
                  <c:v>332800</c:v>
                </c:pt>
                <c:pt idx="6">
                  <c:v>124400</c:v>
                </c:pt>
                <c:pt idx="7">
                  <c:v>176600</c:v>
                </c:pt>
                <c:pt idx="8">
                  <c:v>116000</c:v>
                </c:pt>
                <c:pt idx="9">
                  <c:v>56700</c:v>
                </c:pt>
                <c:pt idx="10">
                  <c:v>48500</c:v>
                </c:pt>
                <c:pt idx="11">
                  <c:v>136100</c:v>
                </c:pt>
                <c:pt idx="12">
                  <c:v>141500</c:v>
                </c:pt>
                <c:pt idx="13">
                  <c:v>156400</c:v>
                </c:pt>
                <c:pt idx="14">
                  <c:v>223000</c:v>
                </c:pt>
                <c:pt idx="15">
                  <c:v>118600</c:v>
                </c:pt>
                <c:pt idx="16">
                  <c:v>74800</c:v>
                </c:pt>
                <c:pt idx="17">
                  <c:v>119000</c:v>
                </c:pt>
                <c:pt idx="18">
                  <c:v>80800</c:v>
                </c:pt>
                <c:pt idx="19">
                  <c:v>66200</c:v>
                </c:pt>
                <c:pt idx="20">
                  <c:v>55500</c:v>
                </c:pt>
                <c:pt idx="21">
                  <c:v>45300</c:v>
                </c:pt>
                <c:pt idx="22">
                  <c:v>86600</c:v>
                </c:pt>
                <c:pt idx="23">
                  <c:v>47500</c:v>
                </c:pt>
                <c:pt idx="24">
                  <c:v>23900</c:v>
                </c:pt>
                <c:pt idx="25">
                  <c:v>72100</c:v>
                </c:pt>
                <c:pt idx="26">
                  <c:v>117400</c:v>
                </c:pt>
                <c:pt idx="27">
                  <c:v>31200</c:v>
                </c:pt>
                <c:pt idx="28">
                  <c:v>27600</c:v>
                </c:pt>
                <c:pt idx="29">
                  <c:v>61000</c:v>
                </c:pt>
                <c:pt idx="30">
                  <c:v>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C-DC4E-A8D1-395C3CBC5D92}"/>
            </c:ext>
          </c:extLst>
        </c:ser>
        <c:ser>
          <c:idx val="1"/>
          <c:order val="1"/>
          <c:tx>
            <c:strRef>
              <c:f>'B.Base Year Demographics'!$W$27:$W$28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Demographics'!$W$29:$W$59</c:f>
            </c:numRef>
          </c:val>
          <c:extLst>
            <c:ext xmlns:c16="http://schemas.microsoft.com/office/drawing/2014/chart" uri="{C3380CC4-5D6E-409C-BE32-E72D297353CC}">
              <c16:uniqueId val="{00000001-B8DC-DC4E-A8D1-395C3CBC5D92}"/>
            </c:ext>
          </c:extLst>
        </c:ser>
        <c:ser>
          <c:idx val="2"/>
          <c:order val="2"/>
          <c:tx>
            <c:strRef>
              <c:f>'B.Base Year Demographics'!$X$27:$X$28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Demographics'!$X$29:$X$59</c:f>
            </c:numRef>
          </c:val>
          <c:extLst>
            <c:ext xmlns:c16="http://schemas.microsoft.com/office/drawing/2014/chart" uri="{C3380CC4-5D6E-409C-BE32-E72D297353CC}">
              <c16:uniqueId val="{00000002-B8DC-DC4E-A8D1-395C3CBC5D92}"/>
            </c:ext>
          </c:extLst>
        </c:ser>
        <c:ser>
          <c:idx val="3"/>
          <c:order val="3"/>
          <c:tx>
            <c:strRef>
              <c:f>'B.Base Year Demographics'!$Y$27:$Y$28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Demographics'!$Y$29:$Y$59</c:f>
            </c:numRef>
          </c:val>
          <c:extLst>
            <c:ext xmlns:c16="http://schemas.microsoft.com/office/drawing/2014/chart" uri="{C3380CC4-5D6E-409C-BE32-E72D297353CC}">
              <c16:uniqueId val="{00000003-B8DC-DC4E-A8D1-395C3CBC5D92}"/>
            </c:ext>
          </c:extLst>
        </c:ser>
        <c:ser>
          <c:idx val="5"/>
          <c:order val="4"/>
          <c:tx>
            <c:strRef>
              <c:f>'B.Base Year Demographics'!$AA$27:$AA$28</c:f>
              <c:strCache>
                <c:ptCount val="2"/>
                <c:pt idx="0">
                  <c:v>Jobs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Demographics'!$AA$29:$AA$59</c:f>
              <c:numCache>
                <c:formatCode>#,##0</c:formatCode>
                <c:ptCount val="31"/>
                <c:pt idx="0">
                  <c:v>682600</c:v>
                </c:pt>
                <c:pt idx="1">
                  <c:v>134800</c:v>
                </c:pt>
                <c:pt idx="2">
                  <c:v>118300</c:v>
                </c:pt>
                <c:pt idx="3">
                  <c:v>152600</c:v>
                </c:pt>
                <c:pt idx="4">
                  <c:v>180400</c:v>
                </c:pt>
                <c:pt idx="5">
                  <c:v>370100</c:v>
                </c:pt>
                <c:pt idx="6">
                  <c:v>145000</c:v>
                </c:pt>
                <c:pt idx="7">
                  <c:v>180200</c:v>
                </c:pt>
                <c:pt idx="8">
                  <c:v>121000</c:v>
                </c:pt>
                <c:pt idx="9">
                  <c:v>61500</c:v>
                </c:pt>
                <c:pt idx="10">
                  <c:v>49500</c:v>
                </c:pt>
                <c:pt idx="11">
                  <c:v>138800</c:v>
                </c:pt>
                <c:pt idx="12">
                  <c:v>160700</c:v>
                </c:pt>
                <c:pt idx="13">
                  <c:v>163400</c:v>
                </c:pt>
                <c:pt idx="14">
                  <c:v>275500</c:v>
                </c:pt>
                <c:pt idx="15">
                  <c:v>155400</c:v>
                </c:pt>
                <c:pt idx="16">
                  <c:v>79300</c:v>
                </c:pt>
                <c:pt idx="17">
                  <c:v>121600</c:v>
                </c:pt>
                <c:pt idx="18">
                  <c:v>82400</c:v>
                </c:pt>
                <c:pt idx="19">
                  <c:v>71800</c:v>
                </c:pt>
                <c:pt idx="20">
                  <c:v>68000</c:v>
                </c:pt>
                <c:pt idx="21">
                  <c:v>49900</c:v>
                </c:pt>
                <c:pt idx="22">
                  <c:v>107800</c:v>
                </c:pt>
                <c:pt idx="23">
                  <c:v>54100</c:v>
                </c:pt>
                <c:pt idx="24">
                  <c:v>31900</c:v>
                </c:pt>
                <c:pt idx="25">
                  <c:v>81300</c:v>
                </c:pt>
                <c:pt idx="26">
                  <c:v>127300</c:v>
                </c:pt>
                <c:pt idx="27">
                  <c:v>32500</c:v>
                </c:pt>
                <c:pt idx="28">
                  <c:v>28900</c:v>
                </c:pt>
                <c:pt idx="29">
                  <c:v>63100</c:v>
                </c:pt>
                <c:pt idx="30">
                  <c:v>47600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DC-DC4E-A8D1-395C3CBC5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3850335"/>
        <c:axId val="849528367"/>
      </c:barChart>
      <c:catAx>
        <c:axId val="8638503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528367"/>
        <c:crosses val="autoZero"/>
        <c:auto val="1"/>
        <c:lblAlgn val="ctr"/>
        <c:lblOffset val="100"/>
        <c:noMultiLvlLbl val="0"/>
      </c:catAx>
      <c:valAx>
        <c:axId val="849528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5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Employed</a:t>
            </a:r>
            <a:r>
              <a:rPr lang="en-US" baseline="0"/>
              <a:t> Residents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'B.Base Year Demographics'!$AB$8:$AB$9</c:f>
              <c:strCache>
                <c:ptCount val="2"/>
                <c:pt idx="0">
                  <c:v>Employed Residents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Demographics'!$AB$10:$AB$18</c:f>
              <c:numCache>
                <c:formatCode>#,##0</c:formatCode>
                <c:ptCount val="9"/>
                <c:pt idx="0">
                  <c:v>502600</c:v>
                </c:pt>
                <c:pt idx="1">
                  <c:v>398800</c:v>
                </c:pt>
                <c:pt idx="2">
                  <c:v>952400</c:v>
                </c:pt>
                <c:pt idx="3">
                  <c:v>826900</c:v>
                </c:pt>
                <c:pt idx="4">
                  <c:v>535700</c:v>
                </c:pt>
                <c:pt idx="5">
                  <c:v>200300</c:v>
                </c:pt>
                <c:pt idx="6">
                  <c:v>71100</c:v>
                </c:pt>
                <c:pt idx="7">
                  <c:v>249700</c:v>
                </c:pt>
                <c:pt idx="8">
                  <c:v>130600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D-3E4D-8B95-AC59A17694BA}"/>
            </c:ext>
          </c:extLst>
        </c:ser>
        <c:ser>
          <c:idx val="1"/>
          <c:order val="1"/>
          <c:tx>
            <c:strRef>
              <c:f>'B.Base Year Demographics'!$AC$8:$AC$9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Demographics'!$AC$10:$AC$18</c:f>
            </c:numRef>
          </c:val>
          <c:extLst>
            <c:ext xmlns:c16="http://schemas.microsoft.com/office/drawing/2014/chart" uri="{C3380CC4-5D6E-409C-BE32-E72D297353CC}">
              <c16:uniqueId val="{00000001-750D-3E4D-8B95-AC59A17694BA}"/>
            </c:ext>
          </c:extLst>
        </c:ser>
        <c:ser>
          <c:idx val="2"/>
          <c:order val="2"/>
          <c:tx>
            <c:strRef>
              <c:f>'B.Base Year Demographics'!$AD$8:$AD$9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Demographics'!$AD$10:$AD$18</c:f>
            </c:numRef>
          </c:val>
          <c:extLst>
            <c:ext xmlns:c16="http://schemas.microsoft.com/office/drawing/2014/chart" uri="{C3380CC4-5D6E-409C-BE32-E72D297353CC}">
              <c16:uniqueId val="{00000002-750D-3E4D-8B95-AC59A17694BA}"/>
            </c:ext>
          </c:extLst>
        </c:ser>
        <c:ser>
          <c:idx val="3"/>
          <c:order val="3"/>
          <c:tx>
            <c:strRef>
              <c:f>'B.Base Year Demographics'!$AE$8:$AE$9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Demographics'!$AE$10:$AE$18</c:f>
            </c:numRef>
          </c:val>
          <c:extLst>
            <c:ext xmlns:c16="http://schemas.microsoft.com/office/drawing/2014/chart" uri="{C3380CC4-5D6E-409C-BE32-E72D297353CC}">
              <c16:uniqueId val="{00000003-750D-3E4D-8B95-AC59A17694BA}"/>
            </c:ext>
          </c:extLst>
        </c:ser>
        <c:ser>
          <c:idx val="5"/>
          <c:order val="4"/>
          <c:tx>
            <c:strRef>
              <c:f>'B.Base Year Demographics'!$AG$8:$AG$9</c:f>
              <c:strCache>
                <c:ptCount val="2"/>
                <c:pt idx="0">
                  <c:v>Employed Residents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Demographics'!$AG$10:$AG$18</c:f>
              <c:numCache>
                <c:formatCode>#,##0</c:formatCode>
                <c:ptCount val="9"/>
                <c:pt idx="0">
                  <c:v>512700</c:v>
                </c:pt>
                <c:pt idx="1">
                  <c:v>406900</c:v>
                </c:pt>
                <c:pt idx="2">
                  <c:v>971600</c:v>
                </c:pt>
                <c:pt idx="3">
                  <c:v>851300</c:v>
                </c:pt>
                <c:pt idx="4">
                  <c:v>594000</c:v>
                </c:pt>
                <c:pt idx="5">
                  <c:v>232900</c:v>
                </c:pt>
                <c:pt idx="6">
                  <c:v>80600</c:v>
                </c:pt>
                <c:pt idx="7">
                  <c:v>281600</c:v>
                </c:pt>
                <c:pt idx="8">
                  <c:v>136000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0D-3E4D-8B95-AC59A1769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2528399"/>
        <c:axId val="818397583"/>
      </c:barChart>
      <c:catAx>
        <c:axId val="8625283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97583"/>
        <c:crosses val="autoZero"/>
        <c:auto val="1"/>
        <c:lblAlgn val="ctr"/>
        <c:lblOffset val="100"/>
        <c:noMultiLvlLbl val="0"/>
      </c:catAx>
      <c:valAx>
        <c:axId val="8183975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52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Employed Residents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'B.Base Year Demographics'!$AB$27:$AB$28</c:f>
              <c:strCache>
                <c:ptCount val="2"/>
                <c:pt idx="0">
                  <c:v>Employed Residents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Demographics'!$AB$29:$AB$59</c:f>
              <c:numCache>
                <c:formatCode>#,##0</c:formatCode>
                <c:ptCount val="31"/>
                <c:pt idx="0">
                  <c:v>502600</c:v>
                </c:pt>
                <c:pt idx="1">
                  <c:v>155400</c:v>
                </c:pt>
                <c:pt idx="2">
                  <c:v>118000</c:v>
                </c:pt>
                <c:pt idx="3">
                  <c:v>119100</c:v>
                </c:pt>
                <c:pt idx="4">
                  <c:v>94200</c:v>
                </c:pt>
                <c:pt idx="5">
                  <c:v>153100</c:v>
                </c:pt>
                <c:pt idx="6">
                  <c:v>162300</c:v>
                </c:pt>
                <c:pt idx="7">
                  <c:v>156300</c:v>
                </c:pt>
                <c:pt idx="8">
                  <c:v>193500</c:v>
                </c:pt>
                <c:pt idx="9">
                  <c:v>116500</c:v>
                </c:pt>
                <c:pt idx="10">
                  <c:v>56200</c:v>
                </c:pt>
                <c:pt idx="11">
                  <c:v>114900</c:v>
                </c:pt>
                <c:pt idx="12">
                  <c:v>175100</c:v>
                </c:pt>
                <c:pt idx="13">
                  <c:v>191700</c:v>
                </c:pt>
                <c:pt idx="14">
                  <c:v>242000</c:v>
                </c:pt>
                <c:pt idx="15">
                  <c:v>97300</c:v>
                </c:pt>
                <c:pt idx="16">
                  <c:v>130000</c:v>
                </c:pt>
                <c:pt idx="17">
                  <c:v>123600</c:v>
                </c:pt>
                <c:pt idx="18">
                  <c:v>69600</c:v>
                </c:pt>
                <c:pt idx="19">
                  <c:v>71900</c:v>
                </c:pt>
                <c:pt idx="20">
                  <c:v>140600</c:v>
                </c:pt>
                <c:pt idx="21">
                  <c:v>69400</c:v>
                </c:pt>
                <c:pt idx="22">
                  <c:v>130900</c:v>
                </c:pt>
                <c:pt idx="23">
                  <c:v>52800</c:v>
                </c:pt>
                <c:pt idx="24">
                  <c:v>18300</c:v>
                </c:pt>
                <c:pt idx="25">
                  <c:v>87900</c:v>
                </c:pt>
                <c:pt idx="26">
                  <c:v>121200</c:v>
                </c:pt>
                <c:pt idx="27">
                  <c:v>40800</c:v>
                </c:pt>
                <c:pt idx="28">
                  <c:v>22800</c:v>
                </c:pt>
                <c:pt idx="29">
                  <c:v>54700</c:v>
                </c:pt>
                <c:pt idx="30">
                  <c:v>43200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0-1B4E-BCFE-93D1887FE5CC}"/>
            </c:ext>
          </c:extLst>
        </c:ser>
        <c:ser>
          <c:idx val="1"/>
          <c:order val="1"/>
          <c:tx>
            <c:strRef>
              <c:f>'B.Base Year Demographics'!$AC$27:$AC$28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Demographics'!$AC$29:$AC$59</c:f>
            </c:numRef>
          </c:val>
          <c:extLst>
            <c:ext xmlns:c16="http://schemas.microsoft.com/office/drawing/2014/chart" uri="{C3380CC4-5D6E-409C-BE32-E72D297353CC}">
              <c16:uniqueId val="{00000001-7C00-1B4E-BCFE-93D1887FE5CC}"/>
            </c:ext>
          </c:extLst>
        </c:ser>
        <c:ser>
          <c:idx val="2"/>
          <c:order val="2"/>
          <c:tx>
            <c:strRef>
              <c:f>'B.Base Year Demographics'!$AD$27:$AD$28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Demographics'!$AD$29:$AD$59</c:f>
            </c:numRef>
          </c:val>
          <c:extLst>
            <c:ext xmlns:c16="http://schemas.microsoft.com/office/drawing/2014/chart" uri="{C3380CC4-5D6E-409C-BE32-E72D297353CC}">
              <c16:uniqueId val="{00000002-7C00-1B4E-BCFE-93D1887FE5CC}"/>
            </c:ext>
          </c:extLst>
        </c:ser>
        <c:ser>
          <c:idx val="3"/>
          <c:order val="3"/>
          <c:tx>
            <c:strRef>
              <c:f>'B.Base Year Demographics'!$AE$27:$AE$28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Demographics'!$AE$29:$AE$59</c:f>
            </c:numRef>
          </c:val>
          <c:extLst>
            <c:ext xmlns:c16="http://schemas.microsoft.com/office/drawing/2014/chart" uri="{C3380CC4-5D6E-409C-BE32-E72D297353CC}">
              <c16:uniqueId val="{00000003-7C00-1B4E-BCFE-93D1887FE5CC}"/>
            </c:ext>
          </c:extLst>
        </c:ser>
        <c:ser>
          <c:idx val="5"/>
          <c:order val="4"/>
          <c:tx>
            <c:strRef>
              <c:f>'B.Base Year Demographics'!$AG$27:$AG$28</c:f>
              <c:strCache>
                <c:ptCount val="2"/>
                <c:pt idx="0">
                  <c:v>Employed Residents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Demographics'!$AG$29:$AG$59</c:f>
              <c:numCache>
                <c:formatCode>#,##0</c:formatCode>
                <c:ptCount val="31"/>
                <c:pt idx="0">
                  <c:v>512700</c:v>
                </c:pt>
                <c:pt idx="1">
                  <c:v>166700</c:v>
                </c:pt>
                <c:pt idx="2">
                  <c:v>125000</c:v>
                </c:pt>
                <c:pt idx="3">
                  <c:v>121500</c:v>
                </c:pt>
                <c:pt idx="4">
                  <c:v>104100</c:v>
                </c:pt>
                <c:pt idx="5">
                  <c:v>156200</c:v>
                </c:pt>
                <c:pt idx="6">
                  <c:v>170800</c:v>
                </c:pt>
                <c:pt idx="7">
                  <c:v>172100</c:v>
                </c:pt>
                <c:pt idx="8">
                  <c:v>209000</c:v>
                </c:pt>
                <c:pt idx="9">
                  <c:v>120400</c:v>
                </c:pt>
                <c:pt idx="10">
                  <c:v>59500</c:v>
                </c:pt>
                <c:pt idx="11">
                  <c:v>117600</c:v>
                </c:pt>
                <c:pt idx="12">
                  <c:v>190000</c:v>
                </c:pt>
                <c:pt idx="13">
                  <c:v>195600</c:v>
                </c:pt>
                <c:pt idx="14">
                  <c:v>250100</c:v>
                </c:pt>
                <c:pt idx="15">
                  <c:v>103800</c:v>
                </c:pt>
                <c:pt idx="16">
                  <c:v>133900</c:v>
                </c:pt>
                <c:pt idx="17">
                  <c:v>135800</c:v>
                </c:pt>
                <c:pt idx="18">
                  <c:v>84100</c:v>
                </c:pt>
                <c:pt idx="19">
                  <c:v>94500</c:v>
                </c:pt>
                <c:pt idx="20">
                  <c:v>145700</c:v>
                </c:pt>
                <c:pt idx="21">
                  <c:v>85600</c:v>
                </c:pt>
                <c:pt idx="22">
                  <c:v>147300</c:v>
                </c:pt>
                <c:pt idx="23">
                  <c:v>54000</c:v>
                </c:pt>
                <c:pt idx="24">
                  <c:v>26600</c:v>
                </c:pt>
                <c:pt idx="25">
                  <c:v>101500</c:v>
                </c:pt>
                <c:pt idx="26">
                  <c:v>132200</c:v>
                </c:pt>
                <c:pt idx="27">
                  <c:v>48000</c:v>
                </c:pt>
                <c:pt idx="28">
                  <c:v>31900</c:v>
                </c:pt>
                <c:pt idx="29">
                  <c:v>55800</c:v>
                </c:pt>
                <c:pt idx="30">
                  <c:v>58100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00-1B4E-BCFE-93D1887FE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9281887"/>
        <c:axId val="880246063"/>
      </c:barChart>
      <c:catAx>
        <c:axId val="7792818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246063"/>
        <c:crosses val="autoZero"/>
        <c:auto val="1"/>
        <c:lblAlgn val="ctr"/>
        <c:lblOffset val="100"/>
        <c:noMultiLvlLbl val="0"/>
      </c:catAx>
      <c:valAx>
        <c:axId val="8802460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28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'C.Forecast Year Demographics'!$D$8:$D$9</c:f>
              <c:strCache>
                <c:ptCount val="2"/>
                <c:pt idx="0">
                  <c:v>Population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'C.Forecast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'C.Forecast Year Demographics'!$D$10:$D$18</c:f>
              <c:numCache>
                <c:formatCode>#,##0</c:formatCode>
                <c:ptCount val="9"/>
                <c:pt idx="0">
                  <c:v>1260100</c:v>
                </c:pt>
                <c:pt idx="1">
                  <c:v>1004400</c:v>
                </c:pt>
                <c:pt idx="2">
                  <c:v>2862500</c:v>
                </c:pt>
                <c:pt idx="3">
                  <c:v>2154100</c:v>
                </c:pt>
                <c:pt idx="4">
                  <c:v>1440400</c:v>
                </c:pt>
                <c:pt idx="5">
                  <c:v>485000</c:v>
                </c:pt>
                <c:pt idx="6">
                  <c:v>145400</c:v>
                </c:pt>
                <c:pt idx="7">
                  <c:v>535100</c:v>
                </c:pt>
                <c:pt idx="8">
                  <c:v>335100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5-E344-BC63-958453B4FD81}"/>
            </c:ext>
          </c:extLst>
        </c:ser>
        <c:ser>
          <c:idx val="1"/>
          <c:order val="1"/>
          <c:tx>
            <c:strRef>
              <c:f>'B.Base Year Demographics'!$E$8:$E$9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Demographics'!$E$10:$E$18</c:f>
            </c:numRef>
          </c:val>
          <c:extLst>
            <c:ext xmlns:c16="http://schemas.microsoft.com/office/drawing/2014/chart" uri="{C3380CC4-5D6E-409C-BE32-E72D297353CC}">
              <c16:uniqueId val="{00000001-5155-E344-BC63-958453B4FD81}"/>
            </c:ext>
          </c:extLst>
        </c:ser>
        <c:ser>
          <c:idx val="2"/>
          <c:order val="2"/>
          <c:tx>
            <c:strRef>
              <c:f>'B.Base Year Demographics'!$F$8:$F$9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Demographics'!$F$10:$F$18</c:f>
            </c:numRef>
          </c:val>
          <c:extLst>
            <c:ext xmlns:c16="http://schemas.microsoft.com/office/drawing/2014/chart" uri="{C3380CC4-5D6E-409C-BE32-E72D297353CC}">
              <c16:uniqueId val="{00000002-5155-E344-BC63-958453B4FD81}"/>
            </c:ext>
          </c:extLst>
        </c:ser>
        <c:ser>
          <c:idx val="3"/>
          <c:order val="3"/>
          <c:tx>
            <c:strRef>
              <c:f>'B.Base Year Demographics'!$G$8:$G$9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Demographics'!$G$10:$G$18</c:f>
            </c:numRef>
          </c:val>
          <c:extLst>
            <c:ext xmlns:c16="http://schemas.microsoft.com/office/drawing/2014/chart" uri="{C3380CC4-5D6E-409C-BE32-E72D297353CC}">
              <c16:uniqueId val="{00000003-5155-E344-BC63-958453B4FD81}"/>
            </c:ext>
          </c:extLst>
        </c:ser>
        <c:ser>
          <c:idx val="5"/>
          <c:order val="4"/>
          <c:tx>
            <c:strRef>
              <c:f>'C.Forecast Year Demographics'!$F$8:$F$9</c:f>
              <c:strCache>
                <c:ptCount val="2"/>
                <c:pt idx="0">
                  <c:v>Population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'C.Forecast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'C.Forecast Year Demographics'!$F$10:$F$18</c:f>
              <c:numCache>
                <c:formatCode>#,##0</c:formatCode>
                <c:ptCount val="9"/>
                <c:pt idx="0">
                  <c:v>1285500</c:v>
                </c:pt>
                <c:pt idx="1">
                  <c:v>1024700</c:v>
                </c:pt>
                <c:pt idx="2">
                  <c:v>2920300</c:v>
                </c:pt>
                <c:pt idx="3">
                  <c:v>2197600</c:v>
                </c:pt>
                <c:pt idx="4">
                  <c:v>1469500</c:v>
                </c:pt>
                <c:pt idx="5">
                  <c:v>494800</c:v>
                </c:pt>
                <c:pt idx="6">
                  <c:v>148300</c:v>
                </c:pt>
                <c:pt idx="7">
                  <c:v>546000</c:v>
                </c:pt>
                <c:pt idx="8">
                  <c:v>341900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55-E344-BC63-958453B4F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9537727"/>
        <c:axId val="796083823"/>
      </c:barChart>
      <c:catAx>
        <c:axId val="7895377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083823"/>
        <c:crosses val="autoZero"/>
        <c:auto val="1"/>
        <c:lblAlgn val="ctr"/>
        <c:lblOffset val="100"/>
        <c:noMultiLvlLbl val="0"/>
      </c:catAx>
      <c:valAx>
        <c:axId val="79608382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53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Households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'C.Forecast Year Demographics'!$G$8:$G$9</c:f>
              <c:strCache>
                <c:ptCount val="2"/>
                <c:pt idx="0">
                  <c:v>Households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'C.Forecast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'C.Forecast Year Demographics'!$G$10:$G$18</c:f>
              <c:numCache>
                <c:formatCode>#,##0</c:formatCode>
                <c:ptCount val="9"/>
                <c:pt idx="0">
                  <c:v>572600</c:v>
                </c:pt>
                <c:pt idx="1">
                  <c:v>389800</c:v>
                </c:pt>
                <c:pt idx="2">
                  <c:v>1064400</c:v>
                </c:pt>
                <c:pt idx="3">
                  <c:v>838300</c:v>
                </c:pt>
                <c:pt idx="4">
                  <c:v>545900</c:v>
                </c:pt>
                <c:pt idx="5">
                  <c:v>174800</c:v>
                </c:pt>
                <c:pt idx="6">
                  <c:v>55000</c:v>
                </c:pt>
                <c:pt idx="7">
                  <c:v>217700</c:v>
                </c:pt>
                <c:pt idx="8">
                  <c:v>144300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7-6E47-BF66-72D734E6C9E9}"/>
            </c:ext>
          </c:extLst>
        </c:ser>
        <c:ser>
          <c:idx val="1"/>
          <c:order val="1"/>
          <c:tx>
            <c:strRef>
              <c:f>'B.Base Year Demographics'!$K$8:$K$9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Demographics'!$K$10:$K$18</c:f>
            </c:numRef>
          </c:val>
          <c:extLst>
            <c:ext xmlns:c16="http://schemas.microsoft.com/office/drawing/2014/chart" uri="{C3380CC4-5D6E-409C-BE32-E72D297353CC}">
              <c16:uniqueId val="{00000001-C297-6E47-BF66-72D734E6C9E9}"/>
            </c:ext>
          </c:extLst>
        </c:ser>
        <c:ser>
          <c:idx val="2"/>
          <c:order val="2"/>
          <c:tx>
            <c:strRef>
              <c:f>'B.Base Year Demographics'!$L$8:$L$9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Demographics'!$L$10:$L$18</c:f>
            </c:numRef>
          </c:val>
          <c:extLst>
            <c:ext xmlns:c16="http://schemas.microsoft.com/office/drawing/2014/chart" uri="{C3380CC4-5D6E-409C-BE32-E72D297353CC}">
              <c16:uniqueId val="{00000002-C297-6E47-BF66-72D734E6C9E9}"/>
            </c:ext>
          </c:extLst>
        </c:ser>
        <c:ser>
          <c:idx val="3"/>
          <c:order val="3"/>
          <c:tx>
            <c:strRef>
              <c:f>'B.Base Year Demographics'!$M$8:$M$9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Demographics'!$M$10:$M$18</c:f>
            </c:numRef>
          </c:val>
          <c:extLst>
            <c:ext xmlns:c16="http://schemas.microsoft.com/office/drawing/2014/chart" uri="{C3380CC4-5D6E-409C-BE32-E72D297353CC}">
              <c16:uniqueId val="{00000003-C297-6E47-BF66-72D734E6C9E9}"/>
            </c:ext>
          </c:extLst>
        </c:ser>
        <c:ser>
          <c:idx val="5"/>
          <c:order val="4"/>
          <c:tx>
            <c:strRef>
              <c:f>'C.Forecast Year Demographics'!$I$8:$I$9</c:f>
              <c:strCache>
                <c:ptCount val="2"/>
                <c:pt idx="0">
                  <c:v>Households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'C.Forecast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'C.Forecast Year Demographics'!$I$10:$I$18</c:f>
              <c:numCache>
                <c:formatCode>#,##0</c:formatCode>
                <c:ptCount val="9"/>
                <c:pt idx="0">
                  <c:v>584200</c:v>
                </c:pt>
                <c:pt idx="1">
                  <c:v>397700</c:v>
                </c:pt>
                <c:pt idx="2">
                  <c:v>1085900</c:v>
                </c:pt>
                <c:pt idx="3">
                  <c:v>855200</c:v>
                </c:pt>
                <c:pt idx="4">
                  <c:v>556900</c:v>
                </c:pt>
                <c:pt idx="5">
                  <c:v>178300</c:v>
                </c:pt>
                <c:pt idx="6">
                  <c:v>56200</c:v>
                </c:pt>
                <c:pt idx="7">
                  <c:v>222100</c:v>
                </c:pt>
                <c:pt idx="8">
                  <c:v>147200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97-6E47-BF66-72D734E6C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7785551"/>
        <c:axId val="850639103"/>
      </c:barChart>
      <c:catAx>
        <c:axId val="8177855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39103"/>
        <c:crosses val="autoZero"/>
        <c:auto val="1"/>
        <c:lblAlgn val="ctr"/>
        <c:lblOffset val="100"/>
        <c:noMultiLvlLbl val="0"/>
      </c:catAx>
      <c:valAx>
        <c:axId val="85063910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8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'C.Forecast Year Demographics'!$D$27:$D$28</c:f>
              <c:strCache>
                <c:ptCount val="2"/>
                <c:pt idx="0">
                  <c:v>Population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'C.Forecast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'C.Forecast Year Demographics'!$D$29:$D$59</c:f>
              <c:numCache>
                <c:formatCode>#,##0</c:formatCode>
                <c:ptCount val="31"/>
                <c:pt idx="0">
                  <c:v>1260100</c:v>
                </c:pt>
                <c:pt idx="1">
                  <c:v>442100</c:v>
                </c:pt>
                <c:pt idx="2">
                  <c:v>285400</c:v>
                </c:pt>
                <c:pt idx="3">
                  <c:v>276900</c:v>
                </c:pt>
                <c:pt idx="4">
                  <c:v>235600</c:v>
                </c:pt>
                <c:pt idx="5">
                  <c:v>747500</c:v>
                </c:pt>
                <c:pt idx="6">
                  <c:v>428400</c:v>
                </c:pt>
                <c:pt idx="7">
                  <c:v>438200</c:v>
                </c:pt>
                <c:pt idx="8">
                  <c:v>624700</c:v>
                </c:pt>
                <c:pt idx="9">
                  <c:v>255000</c:v>
                </c:pt>
                <c:pt idx="10">
                  <c:v>133100</c:v>
                </c:pt>
                <c:pt idx="11">
                  <c:v>343600</c:v>
                </c:pt>
                <c:pt idx="12">
                  <c:v>440000</c:v>
                </c:pt>
                <c:pt idx="13">
                  <c:v>444900</c:v>
                </c:pt>
                <c:pt idx="14">
                  <c:v>680000</c:v>
                </c:pt>
                <c:pt idx="15">
                  <c:v>245500</c:v>
                </c:pt>
                <c:pt idx="16">
                  <c:v>325900</c:v>
                </c:pt>
                <c:pt idx="17">
                  <c:v>339600</c:v>
                </c:pt>
                <c:pt idx="18">
                  <c:v>192700</c:v>
                </c:pt>
                <c:pt idx="19">
                  <c:v>181200</c:v>
                </c:pt>
                <c:pt idx="20">
                  <c:v>401000</c:v>
                </c:pt>
                <c:pt idx="21">
                  <c:v>149800</c:v>
                </c:pt>
                <c:pt idx="22">
                  <c:v>335100</c:v>
                </c:pt>
                <c:pt idx="23">
                  <c:v>106800</c:v>
                </c:pt>
                <c:pt idx="24">
                  <c:v>38600</c:v>
                </c:pt>
                <c:pt idx="25">
                  <c:v>201200</c:v>
                </c:pt>
                <c:pt idx="26">
                  <c:v>241400</c:v>
                </c:pt>
                <c:pt idx="27">
                  <c:v>92500</c:v>
                </c:pt>
                <c:pt idx="28">
                  <c:v>71000</c:v>
                </c:pt>
                <c:pt idx="29">
                  <c:v>159000</c:v>
                </c:pt>
                <c:pt idx="30">
                  <c:v>105100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A-2C4E-8AF7-20BB0054EF19}"/>
            </c:ext>
          </c:extLst>
        </c:ser>
        <c:ser>
          <c:idx val="1"/>
          <c:order val="1"/>
          <c:tx>
            <c:strRef>
              <c:f>'B.Base Year Demographics'!$E$27:$E$28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Demographics'!$E$29:$E$59</c:f>
            </c:numRef>
          </c:val>
          <c:extLst>
            <c:ext xmlns:c16="http://schemas.microsoft.com/office/drawing/2014/chart" uri="{C3380CC4-5D6E-409C-BE32-E72D297353CC}">
              <c16:uniqueId val="{00000001-D7BA-2C4E-8AF7-20BB0054EF19}"/>
            </c:ext>
          </c:extLst>
        </c:ser>
        <c:ser>
          <c:idx val="2"/>
          <c:order val="2"/>
          <c:tx>
            <c:strRef>
              <c:f>'B.Base Year Demographics'!$F$27:$F$28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Demographics'!$F$29:$F$59</c:f>
            </c:numRef>
          </c:val>
          <c:extLst>
            <c:ext xmlns:c16="http://schemas.microsoft.com/office/drawing/2014/chart" uri="{C3380CC4-5D6E-409C-BE32-E72D297353CC}">
              <c16:uniqueId val="{00000002-D7BA-2C4E-8AF7-20BB0054EF19}"/>
            </c:ext>
          </c:extLst>
        </c:ser>
        <c:ser>
          <c:idx val="3"/>
          <c:order val="3"/>
          <c:tx>
            <c:strRef>
              <c:f>'B.Base Year Demographics'!$G$27:$G$28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Demographics'!$G$29:$G$59</c:f>
            </c:numRef>
          </c:val>
          <c:extLst>
            <c:ext xmlns:c16="http://schemas.microsoft.com/office/drawing/2014/chart" uri="{C3380CC4-5D6E-409C-BE32-E72D297353CC}">
              <c16:uniqueId val="{00000003-D7BA-2C4E-8AF7-20BB0054EF19}"/>
            </c:ext>
          </c:extLst>
        </c:ser>
        <c:ser>
          <c:idx val="5"/>
          <c:order val="4"/>
          <c:tx>
            <c:strRef>
              <c:f>'C.Forecast Year Demographics'!$F$27:$F$28</c:f>
              <c:strCache>
                <c:ptCount val="2"/>
                <c:pt idx="0">
                  <c:v>Population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'C.Forecast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'C.Forecast Year Demographics'!$F$29:$F$59</c:f>
              <c:numCache>
                <c:formatCode>#,##0</c:formatCode>
                <c:ptCount val="31"/>
                <c:pt idx="0">
                  <c:v>1285500</c:v>
                </c:pt>
                <c:pt idx="1">
                  <c:v>451100</c:v>
                </c:pt>
                <c:pt idx="2">
                  <c:v>291100</c:v>
                </c:pt>
                <c:pt idx="3">
                  <c:v>282500</c:v>
                </c:pt>
                <c:pt idx="4">
                  <c:v>240400</c:v>
                </c:pt>
                <c:pt idx="5">
                  <c:v>762600</c:v>
                </c:pt>
                <c:pt idx="6">
                  <c:v>437100</c:v>
                </c:pt>
                <c:pt idx="7">
                  <c:v>447100</c:v>
                </c:pt>
                <c:pt idx="8">
                  <c:v>637300</c:v>
                </c:pt>
                <c:pt idx="9">
                  <c:v>260200</c:v>
                </c:pt>
                <c:pt idx="10">
                  <c:v>135800</c:v>
                </c:pt>
                <c:pt idx="11">
                  <c:v>350600</c:v>
                </c:pt>
                <c:pt idx="12">
                  <c:v>448900</c:v>
                </c:pt>
                <c:pt idx="13">
                  <c:v>453900</c:v>
                </c:pt>
                <c:pt idx="14">
                  <c:v>693800</c:v>
                </c:pt>
                <c:pt idx="15">
                  <c:v>250500</c:v>
                </c:pt>
                <c:pt idx="16">
                  <c:v>332400</c:v>
                </c:pt>
                <c:pt idx="17">
                  <c:v>346500</c:v>
                </c:pt>
                <c:pt idx="18">
                  <c:v>196600</c:v>
                </c:pt>
                <c:pt idx="19">
                  <c:v>184900</c:v>
                </c:pt>
                <c:pt idx="20">
                  <c:v>409100</c:v>
                </c:pt>
                <c:pt idx="21">
                  <c:v>152900</c:v>
                </c:pt>
                <c:pt idx="22">
                  <c:v>341900</c:v>
                </c:pt>
                <c:pt idx="23">
                  <c:v>108900</c:v>
                </c:pt>
                <c:pt idx="24">
                  <c:v>39400</c:v>
                </c:pt>
                <c:pt idx="25">
                  <c:v>205300</c:v>
                </c:pt>
                <c:pt idx="26">
                  <c:v>246300</c:v>
                </c:pt>
                <c:pt idx="27">
                  <c:v>94400</c:v>
                </c:pt>
                <c:pt idx="28">
                  <c:v>72400</c:v>
                </c:pt>
                <c:pt idx="29">
                  <c:v>162200</c:v>
                </c:pt>
                <c:pt idx="30">
                  <c:v>107300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BA-2C4E-8AF7-20BB0054E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5896911"/>
        <c:axId val="857814303"/>
      </c:barChart>
      <c:catAx>
        <c:axId val="855896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814303"/>
        <c:crosses val="autoZero"/>
        <c:auto val="1"/>
        <c:lblAlgn val="ctr"/>
        <c:lblOffset val="100"/>
        <c:noMultiLvlLbl val="0"/>
      </c:catAx>
      <c:valAx>
        <c:axId val="85781430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9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Households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'C.Forecast Year Demographics'!$G$27:$G$28</c:f>
              <c:strCache>
                <c:ptCount val="2"/>
                <c:pt idx="0">
                  <c:v>Households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'C.Forecast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'C.Forecast Year Demographics'!$G$29:$G$59</c:f>
              <c:numCache>
                <c:formatCode>#,##0</c:formatCode>
                <c:ptCount val="31"/>
                <c:pt idx="0">
                  <c:v>572600</c:v>
                </c:pt>
                <c:pt idx="1">
                  <c:v>164700</c:v>
                </c:pt>
                <c:pt idx="2">
                  <c:v>120100</c:v>
                </c:pt>
                <c:pt idx="3">
                  <c:v>105000</c:v>
                </c:pt>
                <c:pt idx="4">
                  <c:v>101000</c:v>
                </c:pt>
                <c:pt idx="5">
                  <c:v>316300</c:v>
                </c:pt>
                <c:pt idx="6">
                  <c:v>170000</c:v>
                </c:pt>
                <c:pt idx="7">
                  <c:v>166100</c:v>
                </c:pt>
                <c:pt idx="8">
                  <c:v>178300</c:v>
                </c:pt>
                <c:pt idx="9">
                  <c:v>90300</c:v>
                </c:pt>
                <c:pt idx="10">
                  <c:v>42500</c:v>
                </c:pt>
                <c:pt idx="11">
                  <c:v>130500</c:v>
                </c:pt>
                <c:pt idx="12">
                  <c:v>150600</c:v>
                </c:pt>
                <c:pt idx="13">
                  <c:v>158900</c:v>
                </c:pt>
                <c:pt idx="14">
                  <c:v>284200</c:v>
                </c:pt>
                <c:pt idx="15">
                  <c:v>114100</c:v>
                </c:pt>
                <c:pt idx="16">
                  <c:v>121500</c:v>
                </c:pt>
                <c:pt idx="17">
                  <c:v>132600</c:v>
                </c:pt>
                <c:pt idx="18">
                  <c:v>88000</c:v>
                </c:pt>
                <c:pt idx="19">
                  <c:v>69200</c:v>
                </c:pt>
                <c:pt idx="20">
                  <c:v>134700</c:v>
                </c:pt>
                <c:pt idx="21">
                  <c:v>56500</c:v>
                </c:pt>
                <c:pt idx="22">
                  <c:v>118300</c:v>
                </c:pt>
                <c:pt idx="23">
                  <c:v>39200</c:v>
                </c:pt>
                <c:pt idx="24">
                  <c:v>15900</c:v>
                </c:pt>
                <c:pt idx="25">
                  <c:v>82500</c:v>
                </c:pt>
                <c:pt idx="26">
                  <c:v>96700</c:v>
                </c:pt>
                <c:pt idx="27">
                  <c:v>38600</c:v>
                </c:pt>
                <c:pt idx="28">
                  <c:v>29300</c:v>
                </c:pt>
                <c:pt idx="29">
                  <c:v>65200</c:v>
                </c:pt>
                <c:pt idx="30">
                  <c:v>49700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E-E849-9F44-9669A9F9FB18}"/>
            </c:ext>
          </c:extLst>
        </c:ser>
        <c:ser>
          <c:idx val="1"/>
          <c:order val="1"/>
          <c:tx>
            <c:strRef>
              <c:f>'B.Base Year Demographics'!$K$27:$K$28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Demographics'!$K$29:$K$59</c:f>
            </c:numRef>
          </c:val>
          <c:extLst>
            <c:ext xmlns:c16="http://schemas.microsoft.com/office/drawing/2014/chart" uri="{C3380CC4-5D6E-409C-BE32-E72D297353CC}">
              <c16:uniqueId val="{00000001-D8EE-E849-9F44-9669A9F9FB18}"/>
            </c:ext>
          </c:extLst>
        </c:ser>
        <c:ser>
          <c:idx val="2"/>
          <c:order val="2"/>
          <c:tx>
            <c:strRef>
              <c:f>'B.Base Year Demographics'!$L$27:$L$28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Demographics'!$L$29:$L$59</c:f>
            </c:numRef>
          </c:val>
          <c:extLst>
            <c:ext xmlns:c16="http://schemas.microsoft.com/office/drawing/2014/chart" uri="{C3380CC4-5D6E-409C-BE32-E72D297353CC}">
              <c16:uniqueId val="{00000002-D8EE-E849-9F44-9669A9F9FB18}"/>
            </c:ext>
          </c:extLst>
        </c:ser>
        <c:ser>
          <c:idx val="3"/>
          <c:order val="3"/>
          <c:tx>
            <c:strRef>
              <c:f>'B.Base Year Demographics'!$M$27:$M$28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Demographics'!$M$29:$M$59</c:f>
            </c:numRef>
          </c:val>
          <c:extLst>
            <c:ext xmlns:c16="http://schemas.microsoft.com/office/drawing/2014/chart" uri="{C3380CC4-5D6E-409C-BE32-E72D297353CC}">
              <c16:uniqueId val="{00000003-D8EE-E849-9F44-9669A9F9FB18}"/>
            </c:ext>
          </c:extLst>
        </c:ser>
        <c:ser>
          <c:idx val="5"/>
          <c:order val="4"/>
          <c:tx>
            <c:strRef>
              <c:f>'C.Forecast Year Demographics'!$I$27:$I$28</c:f>
              <c:strCache>
                <c:ptCount val="2"/>
                <c:pt idx="0">
                  <c:v>Households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'C.Forecast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'C.Forecast Year Demographics'!$I$29:$I$59</c:f>
              <c:numCache>
                <c:formatCode>#,##0</c:formatCode>
                <c:ptCount val="31"/>
                <c:pt idx="0">
                  <c:v>584200</c:v>
                </c:pt>
                <c:pt idx="1">
                  <c:v>168000</c:v>
                </c:pt>
                <c:pt idx="2">
                  <c:v>122500</c:v>
                </c:pt>
                <c:pt idx="3">
                  <c:v>107200</c:v>
                </c:pt>
                <c:pt idx="4">
                  <c:v>103000</c:v>
                </c:pt>
                <c:pt idx="5">
                  <c:v>322700</c:v>
                </c:pt>
                <c:pt idx="6">
                  <c:v>173400</c:v>
                </c:pt>
                <c:pt idx="7">
                  <c:v>169500</c:v>
                </c:pt>
                <c:pt idx="8">
                  <c:v>181900</c:v>
                </c:pt>
                <c:pt idx="9">
                  <c:v>92100</c:v>
                </c:pt>
                <c:pt idx="10">
                  <c:v>43300</c:v>
                </c:pt>
                <c:pt idx="11">
                  <c:v>133200</c:v>
                </c:pt>
                <c:pt idx="12">
                  <c:v>153700</c:v>
                </c:pt>
                <c:pt idx="13">
                  <c:v>162100</c:v>
                </c:pt>
                <c:pt idx="14">
                  <c:v>290000</c:v>
                </c:pt>
                <c:pt idx="15">
                  <c:v>116400</c:v>
                </c:pt>
                <c:pt idx="16">
                  <c:v>123900</c:v>
                </c:pt>
                <c:pt idx="17">
                  <c:v>135200</c:v>
                </c:pt>
                <c:pt idx="18">
                  <c:v>89800</c:v>
                </c:pt>
                <c:pt idx="19">
                  <c:v>70500</c:v>
                </c:pt>
                <c:pt idx="20">
                  <c:v>137400</c:v>
                </c:pt>
                <c:pt idx="21">
                  <c:v>57600</c:v>
                </c:pt>
                <c:pt idx="22">
                  <c:v>120700</c:v>
                </c:pt>
                <c:pt idx="23">
                  <c:v>40000</c:v>
                </c:pt>
                <c:pt idx="24">
                  <c:v>16200</c:v>
                </c:pt>
                <c:pt idx="25">
                  <c:v>84100</c:v>
                </c:pt>
                <c:pt idx="26">
                  <c:v>98600</c:v>
                </c:pt>
                <c:pt idx="27">
                  <c:v>39400</c:v>
                </c:pt>
                <c:pt idx="28">
                  <c:v>29900</c:v>
                </c:pt>
                <c:pt idx="29">
                  <c:v>66500</c:v>
                </c:pt>
                <c:pt idx="30">
                  <c:v>50800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EE-E849-9F44-9669A9F9F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6594463"/>
        <c:axId val="858774175"/>
      </c:barChart>
      <c:catAx>
        <c:axId val="8565944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774175"/>
        <c:crosses val="autoZero"/>
        <c:auto val="1"/>
        <c:lblAlgn val="ctr"/>
        <c:lblOffset val="100"/>
        <c:noMultiLvlLbl val="0"/>
      </c:catAx>
      <c:valAx>
        <c:axId val="85877417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59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Non-Institutional</a:t>
            </a:r>
            <a:r>
              <a:rPr lang="en-US" baseline="0"/>
              <a:t> Group Quarters Population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'C.Forecast Year Demographics'!$J$8:$J$9</c:f>
              <c:strCache>
                <c:ptCount val="2"/>
                <c:pt idx="0">
                  <c:v>Non-Institutional Group Quarters Population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'C.Forecast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'C.Forecast Year Demographics'!$J$10:$J$18</c:f>
              <c:numCache>
                <c:formatCode>#,##0</c:formatCode>
                <c:ptCount val="9"/>
                <c:pt idx="0">
                  <c:v>31000</c:v>
                </c:pt>
                <c:pt idx="1">
                  <c:v>11200</c:v>
                </c:pt>
                <c:pt idx="2">
                  <c:v>37200</c:v>
                </c:pt>
                <c:pt idx="3">
                  <c:v>43700</c:v>
                </c:pt>
                <c:pt idx="4">
                  <c:v>12400</c:v>
                </c:pt>
                <c:pt idx="5">
                  <c:v>16200</c:v>
                </c:pt>
                <c:pt idx="6">
                  <c:v>4800</c:v>
                </c:pt>
                <c:pt idx="7">
                  <c:v>12500</c:v>
                </c:pt>
                <c:pt idx="8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2-0744-9289-3744110BDB4D}"/>
            </c:ext>
          </c:extLst>
        </c:ser>
        <c:ser>
          <c:idx val="1"/>
          <c:order val="1"/>
          <c:tx>
            <c:strRef>
              <c:f>'B.Base Year Demographics'!$Q$8:$Q$9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Demographics'!$Q$10:$Q$18</c:f>
            </c:numRef>
          </c:val>
          <c:extLst>
            <c:ext xmlns:c16="http://schemas.microsoft.com/office/drawing/2014/chart" uri="{C3380CC4-5D6E-409C-BE32-E72D297353CC}">
              <c16:uniqueId val="{00000001-B352-0744-9289-3744110BDB4D}"/>
            </c:ext>
          </c:extLst>
        </c:ser>
        <c:ser>
          <c:idx val="2"/>
          <c:order val="2"/>
          <c:tx>
            <c:strRef>
              <c:f>'B.Base Year Demographics'!$R$8:$R$9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Demographics'!$R$10:$R$18</c:f>
            </c:numRef>
          </c:val>
          <c:extLst>
            <c:ext xmlns:c16="http://schemas.microsoft.com/office/drawing/2014/chart" uri="{C3380CC4-5D6E-409C-BE32-E72D297353CC}">
              <c16:uniqueId val="{00000002-B352-0744-9289-3744110BDB4D}"/>
            </c:ext>
          </c:extLst>
        </c:ser>
        <c:ser>
          <c:idx val="3"/>
          <c:order val="3"/>
          <c:tx>
            <c:strRef>
              <c:f>'B.Base Year Demographics'!$S$8:$S$9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Demographics'!$S$10:$S$18</c:f>
            </c:numRef>
          </c:val>
          <c:extLst>
            <c:ext xmlns:c16="http://schemas.microsoft.com/office/drawing/2014/chart" uri="{C3380CC4-5D6E-409C-BE32-E72D297353CC}">
              <c16:uniqueId val="{00000003-B352-0744-9289-3744110BDB4D}"/>
            </c:ext>
          </c:extLst>
        </c:ser>
        <c:ser>
          <c:idx val="5"/>
          <c:order val="4"/>
          <c:tx>
            <c:strRef>
              <c:f>'C.Forecast Year Demographics'!$L$8:$L$9</c:f>
              <c:strCache>
                <c:ptCount val="2"/>
                <c:pt idx="0">
                  <c:v>Non-Institutional Group Quarters Population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'C.Forecast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'C.Forecast Year Demographics'!$L$10:$L$18</c:f>
              <c:numCache>
                <c:formatCode>#,##0</c:formatCode>
                <c:ptCount val="9"/>
                <c:pt idx="0">
                  <c:v>31600</c:v>
                </c:pt>
                <c:pt idx="1">
                  <c:v>11400</c:v>
                </c:pt>
                <c:pt idx="2">
                  <c:v>37900</c:v>
                </c:pt>
                <c:pt idx="3">
                  <c:v>44600</c:v>
                </c:pt>
                <c:pt idx="4">
                  <c:v>12700</c:v>
                </c:pt>
                <c:pt idx="5">
                  <c:v>16600</c:v>
                </c:pt>
                <c:pt idx="6">
                  <c:v>4900</c:v>
                </c:pt>
                <c:pt idx="7">
                  <c:v>12700</c:v>
                </c:pt>
                <c:pt idx="8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52-0744-9289-3744110BD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0399119"/>
        <c:axId val="860598943"/>
      </c:barChart>
      <c:catAx>
        <c:axId val="8603991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598943"/>
        <c:crosses val="autoZero"/>
        <c:auto val="1"/>
        <c:lblAlgn val="ctr"/>
        <c:lblOffset val="100"/>
        <c:noMultiLvlLbl val="0"/>
      </c:catAx>
      <c:valAx>
        <c:axId val="86059894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39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Non-Institutional</a:t>
            </a:r>
            <a:r>
              <a:rPr lang="en-US" baseline="0"/>
              <a:t> Group Quarters Population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'C.Forecast Year Demographics'!$J$27:$J$28</c:f>
              <c:strCache>
                <c:ptCount val="2"/>
                <c:pt idx="0">
                  <c:v>Non-Institutional Group Quarters Population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'C.Forecast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'C.Forecast Year Demographics'!$J$29:$J$59</c:f>
              <c:numCache>
                <c:formatCode>#,##0</c:formatCode>
                <c:ptCount val="31"/>
                <c:pt idx="0">
                  <c:v>31000</c:v>
                </c:pt>
                <c:pt idx="1">
                  <c:v>3700</c:v>
                </c:pt>
                <c:pt idx="2">
                  <c:v>3400</c:v>
                </c:pt>
                <c:pt idx="3">
                  <c:v>4000</c:v>
                </c:pt>
                <c:pt idx="4">
                  <c:v>10200</c:v>
                </c:pt>
                <c:pt idx="5">
                  <c:v>2000</c:v>
                </c:pt>
                <c:pt idx="6">
                  <c:v>3100</c:v>
                </c:pt>
                <c:pt idx="7">
                  <c:v>14400</c:v>
                </c:pt>
                <c:pt idx="8">
                  <c:v>4200</c:v>
                </c:pt>
                <c:pt idx="9">
                  <c:v>1300</c:v>
                </c:pt>
                <c:pt idx="10">
                  <c:v>2000</c:v>
                </c:pt>
                <c:pt idx="11">
                  <c:v>2400</c:v>
                </c:pt>
                <c:pt idx="12">
                  <c:v>3200</c:v>
                </c:pt>
                <c:pt idx="13">
                  <c:v>7800</c:v>
                </c:pt>
                <c:pt idx="14">
                  <c:v>11400</c:v>
                </c:pt>
                <c:pt idx="15">
                  <c:v>18900</c:v>
                </c:pt>
                <c:pt idx="16">
                  <c:v>2300</c:v>
                </c:pt>
                <c:pt idx="17">
                  <c:v>3100</c:v>
                </c:pt>
                <c:pt idx="18">
                  <c:v>4200</c:v>
                </c:pt>
                <c:pt idx="19">
                  <c:v>700</c:v>
                </c:pt>
                <c:pt idx="20">
                  <c:v>2100</c:v>
                </c:pt>
                <c:pt idx="21">
                  <c:v>2400</c:v>
                </c:pt>
                <c:pt idx="22">
                  <c:v>13800</c:v>
                </c:pt>
                <c:pt idx="23">
                  <c:v>1500</c:v>
                </c:pt>
                <c:pt idx="24">
                  <c:v>3300</c:v>
                </c:pt>
                <c:pt idx="25">
                  <c:v>6600</c:v>
                </c:pt>
                <c:pt idx="26">
                  <c:v>4600</c:v>
                </c:pt>
                <c:pt idx="27">
                  <c:v>1200</c:v>
                </c:pt>
                <c:pt idx="28">
                  <c:v>900</c:v>
                </c:pt>
                <c:pt idx="29">
                  <c:v>3400</c:v>
                </c:pt>
                <c:pt idx="30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B-6B45-956A-2D645467484D}"/>
            </c:ext>
          </c:extLst>
        </c:ser>
        <c:ser>
          <c:idx val="1"/>
          <c:order val="1"/>
          <c:tx>
            <c:strRef>
              <c:f>'B.Base Year Demographics'!$Q$27:$Q$28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Demographics'!$Q$29:$Q$59</c:f>
            </c:numRef>
          </c:val>
          <c:extLst>
            <c:ext xmlns:c16="http://schemas.microsoft.com/office/drawing/2014/chart" uri="{C3380CC4-5D6E-409C-BE32-E72D297353CC}">
              <c16:uniqueId val="{00000001-280B-6B45-956A-2D645467484D}"/>
            </c:ext>
          </c:extLst>
        </c:ser>
        <c:ser>
          <c:idx val="2"/>
          <c:order val="2"/>
          <c:tx>
            <c:strRef>
              <c:f>'B.Base Year Demographics'!$R$27:$R$28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Demographics'!$R$29:$R$59</c:f>
            </c:numRef>
          </c:val>
          <c:extLst>
            <c:ext xmlns:c16="http://schemas.microsoft.com/office/drawing/2014/chart" uri="{C3380CC4-5D6E-409C-BE32-E72D297353CC}">
              <c16:uniqueId val="{00000002-280B-6B45-956A-2D645467484D}"/>
            </c:ext>
          </c:extLst>
        </c:ser>
        <c:ser>
          <c:idx val="3"/>
          <c:order val="3"/>
          <c:tx>
            <c:strRef>
              <c:f>'B.Base Year Demographics'!$S$27:$S$28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Demographics'!$S$29:$S$59</c:f>
            </c:numRef>
          </c:val>
          <c:extLst>
            <c:ext xmlns:c16="http://schemas.microsoft.com/office/drawing/2014/chart" uri="{C3380CC4-5D6E-409C-BE32-E72D297353CC}">
              <c16:uniqueId val="{00000003-280B-6B45-956A-2D645467484D}"/>
            </c:ext>
          </c:extLst>
        </c:ser>
        <c:ser>
          <c:idx val="5"/>
          <c:order val="4"/>
          <c:tx>
            <c:strRef>
              <c:f>'C.Forecast Year Demographics'!$L$27:$L$28</c:f>
              <c:strCache>
                <c:ptCount val="2"/>
                <c:pt idx="0">
                  <c:v>Non-Institutional Group Quarters Population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'C.Forecast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'C.Forecast Year Demographics'!$L$29:$L$59</c:f>
              <c:numCache>
                <c:formatCode>#,##0</c:formatCode>
                <c:ptCount val="31"/>
                <c:pt idx="0">
                  <c:v>31600</c:v>
                </c:pt>
                <c:pt idx="1">
                  <c:v>3800</c:v>
                </c:pt>
                <c:pt idx="2">
                  <c:v>3500</c:v>
                </c:pt>
                <c:pt idx="3">
                  <c:v>4100</c:v>
                </c:pt>
                <c:pt idx="4">
                  <c:v>10400</c:v>
                </c:pt>
                <c:pt idx="5">
                  <c:v>2000</c:v>
                </c:pt>
                <c:pt idx="6">
                  <c:v>3200</c:v>
                </c:pt>
                <c:pt idx="7">
                  <c:v>14700</c:v>
                </c:pt>
                <c:pt idx="8">
                  <c:v>4200</c:v>
                </c:pt>
                <c:pt idx="9">
                  <c:v>1300</c:v>
                </c:pt>
                <c:pt idx="10">
                  <c:v>2100</c:v>
                </c:pt>
                <c:pt idx="11">
                  <c:v>2500</c:v>
                </c:pt>
                <c:pt idx="12">
                  <c:v>3300</c:v>
                </c:pt>
                <c:pt idx="13">
                  <c:v>8000</c:v>
                </c:pt>
                <c:pt idx="14">
                  <c:v>11600</c:v>
                </c:pt>
                <c:pt idx="15">
                  <c:v>19200</c:v>
                </c:pt>
                <c:pt idx="16">
                  <c:v>2300</c:v>
                </c:pt>
                <c:pt idx="17">
                  <c:v>3200</c:v>
                </c:pt>
                <c:pt idx="18">
                  <c:v>4200</c:v>
                </c:pt>
                <c:pt idx="19">
                  <c:v>800</c:v>
                </c:pt>
                <c:pt idx="20">
                  <c:v>2200</c:v>
                </c:pt>
                <c:pt idx="21">
                  <c:v>2400</c:v>
                </c:pt>
                <c:pt idx="22">
                  <c:v>14100</c:v>
                </c:pt>
                <c:pt idx="23">
                  <c:v>1500</c:v>
                </c:pt>
                <c:pt idx="24">
                  <c:v>3400</c:v>
                </c:pt>
                <c:pt idx="25">
                  <c:v>6800</c:v>
                </c:pt>
                <c:pt idx="26">
                  <c:v>4700</c:v>
                </c:pt>
                <c:pt idx="27">
                  <c:v>1300</c:v>
                </c:pt>
                <c:pt idx="28">
                  <c:v>900</c:v>
                </c:pt>
                <c:pt idx="29">
                  <c:v>3400</c:v>
                </c:pt>
                <c:pt idx="30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0B-6B45-956A-2D6454674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4664111"/>
        <c:axId val="819546207"/>
      </c:barChart>
      <c:catAx>
        <c:axId val="7946641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546207"/>
        <c:crosses val="autoZero"/>
        <c:auto val="1"/>
        <c:lblAlgn val="ctr"/>
        <c:lblOffset val="100"/>
        <c:noMultiLvlLbl val="0"/>
      </c:catAx>
      <c:valAx>
        <c:axId val="8195462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664111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'C.Forecast Year Demographics'!$M$8:$M$9</c:f>
              <c:strCache>
                <c:ptCount val="2"/>
                <c:pt idx="0">
                  <c:v>Jobs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'C.Forecast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'C.Forecast Year Demographics'!$M$10:$M$18</c:f>
              <c:numCache>
                <c:formatCode>#,##0</c:formatCode>
                <c:ptCount val="9"/>
                <c:pt idx="0">
                  <c:v>909000</c:v>
                </c:pt>
                <c:pt idx="1">
                  <c:v>502200</c:v>
                </c:pt>
                <c:pt idx="2">
                  <c:v>1594400</c:v>
                </c:pt>
                <c:pt idx="3">
                  <c:v>1170200</c:v>
                </c:pt>
                <c:pt idx="4">
                  <c:v>528400</c:v>
                </c:pt>
                <c:pt idx="5">
                  <c:v>199400</c:v>
                </c:pt>
                <c:pt idx="6">
                  <c:v>85800</c:v>
                </c:pt>
                <c:pt idx="7">
                  <c:v>248800</c:v>
                </c:pt>
                <c:pt idx="8">
                  <c:v>116000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C-A844-BF8A-4401D39184D2}"/>
            </c:ext>
          </c:extLst>
        </c:ser>
        <c:ser>
          <c:idx val="1"/>
          <c:order val="1"/>
          <c:tx>
            <c:strRef>
              <c:f>'B.Base Year Demographics'!$W$8:$W$9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Demographics'!$W$10:$W$18</c:f>
            </c:numRef>
          </c:val>
          <c:extLst>
            <c:ext xmlns:c16="http://schemas.microsoft.com/office/drawing/2014/chart" uri="{C3380CC4-5D6E-409C-BE32-E72D297353CC}">
              <c16:uniqueId val="{00000001-23FC-A844-BF8A-4401D39184D2}"/>
            </c:ext>
          </c:extLst>
        </c:ser>
        <c:ser>
          <c:idx val="2"/>
          <c:order val="2"/>
          <c:tx>
            <c:strRef>
              <c:f>'B.Base Year Demographics'!$X$8:$X$9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Demographics'!$X$10:$X$18</c:f>
            </c:numRef>
          </c:val>
          <c:extLst>
            <c:ext xmlns:c16="http://schemas.microsoft.com/office/drawing/2014/chart" uri="{C3380CC4-5D6E-409C-BE32-E72D297353CC}">
              <c16:uniqueId val="{00000002-23FC-A844-BF8A-4401D39184D2}"/>
            </c:ext>
          </c:extLst>
        </c:ser>
        <c:ser>
          <c:idx val="3"/>
          <c:order val="3"/>
          <c:tx>
            <c:strRef>
              <c:f>'B.Base Year Demographics'!$Y$8:$Y$9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Demographics'!$Y$10:$Y$18</c:f>
            </c:numRef>
          </c:val>
          <c:extLst>
            <c:ext xmlns:c16="http://schemas.microsoft.com/office/drawing/2014/chart" uri="{C3380CC4-5D6E-409C-BE32-E72D297353CC}">
              <c16:uniqueId val="{00000003-23FC-A844-BF8A-4401D39184D2}"/>
            </c:ext>
          </c:extLst>
        </c:ser>
        <c:ser>
          <c:idx val="5"/>
          <c:order val="4"/>
          <c:tx>
            <c:strRef>
              <c:f>'C.Forecast Year Demographics'!$O$8:$O$9</c:f>
              <c:strCache>
                <c:ptCount val="2"/>
                <c:pt idx="0">
                  <c:v>Jobs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'C.Forecast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'C.Forecast Year Demographics'!$O$10:$O$18</c:f>
              <c:numCache>
                <c:formatCode>#,##0</c:formatCode>
                <c:ptCount val="9"/>
                <c:pt idx="0">
                  <c:v>927400</c:v>
                </c:pt>
                <c:pt idx="1">
                  <c:v>512400</c:v>
                </c:pt>
                <c:pt idx="2">
                  <c:v>1626600</c:v>
                </c:pt>
                <c:pt idx="3">
                  <c:v>1193800</c:v>
                </c:pt>
                <c:pt idx="4">
                  <c:v>539100</c:v>
                </c:pt>
                <c:pt idx="5">
                  <c:v>203500</c:v>
                </c:pt>
                <c:pt idx="6">
                  <c:v>87600</c:v>
                </c:pt>
                <c:pt idx="7">
                  <c:v>253900</c:v>
                </c:pt>
                <c:pt idx="8">
                  <c:v>118300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FC-A844-BF8A-4401D3918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9937695"/>
        <c:axId val="774158207"/>
      </c:barChart>
      <c:catAx>
        <c:axId val="7799376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58207"/>
        <c:crosses val="autoZero"/>
        <c:auto val="1"/>
        <c:lblAlgn val="ctr"/>
        <c:lblOffset val="100"/>
        <c:noMultiLvlLbl val="0"/>
      </c:catAx>
      <c:valAx>
        <c:axId val="7741582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93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'C.Forecast Year Demographics'!$M$27:$M$28</c:f>
              <c:strCache>
                <c:ptCount val="2"/>
                <c:pt idx="0">
                  <c:v>Jobs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'C.Forecast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'C.Forecast Year Demographics'!$M$29:$M$59</c:f>
              <c:numCache>
                <c:formatCode>#,##0</c:formatCode>
                <c:ptCount val="31"/>
                <c:pt idx="0">
                  <c:v>909000</c:v>
                </c:pt>
                <c:pt idx="1">
                  <c:v>186300</c:v>
                </c:pt>
                <c:pt idx="2">
                  <c:v>121800</c:v>
                </c:pt>
                <c:pt idx="3">
                  <c:v>194100</c:v>
                </c:pt>
                <c:pt idx="4">
                  <c:v>204800</c:v>
                </c:pt>
                <c:pt idx="5">
                  <c:v>622500</c:v>
                </c:pt>
                <c:pt idx="6">
                  <c:v>194800</c:v>
                </c:pt>
                <c:pt idx="7">
                  <c:v>260800</c:v>
                </c:pt>
                <c:pt idx="8">
                  <c:v>168000</c:v>
                </c:pt>
                <c:pt idx="9">
                  <c:v>76500</c:v>
                </c:pt>
                <c:pt idx="10">
                  <c:v>66900</c:v>
                </c:pt>
                <c:pt idx="11">
                  <c:v>154400</c:v>
                </c:pt>
                <c:pt idx="12">
                  <c:v>218700</c:v>
                </c:pt>
                <c:pt idx="13">
                  <c:v>282000</c:v>
                </c:pt>
                <c:pt idx="14">
                  <c:v>354500</c:v>
                </c:pt>
                <c:pt idx="15">
                  <c:v>160600</c:v>
                </c:pt>
                <c:pt idx="16">
                  <c:v>130400</c:v>
                </c:pt>
                <c:pt idx="17">
                  <c:v>182300</c:v>
                </c:pt>
                <c:pt idx="18">
                  <c:v>73000</c:v>
                </c:pt>
                <c:pt idx="19">
                  <c:v>59900</c:v>
                </c:pt>
                <c:pt idx="20">
                  <c:v>82900</c:v>
                </c:pt>
                <c:pt idx="21">
                  <c:v>61600</c:v>
                </c:pt>
                <c:pt idx="22">
                  <c:v>137800</c:v>
                </c:pt>
                <c:pt idx="23">
                  <c:v>65600</c:v>
                </c:pt>
                <c:pt idx="24">
                  <c:v>20300</c:v>
                </c:pt>
                <c:pt idx="25">
                  <c:v>79600</c:v>
                </c:pt>
                <c:pt idx="26">
                  <c:v>129800</c:v>
                </c:pt>
                <c:pt idx="27">
                  <c:v>39400</c:v>
                </c:pt>
                <c:pt idx="28">
                  <c:v>28500</c:v>
                </c:pt>
                <c:pt idx="29">
                  <c:v>48200</c:v>
                </c:pt>
                <c:pt idx="30">
                  <c:v>39300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6-D143-B2A0-19EB8A08BA01}"/>
            </c:ext>
          </c:extLst>
        </c:ser>
        <c:ser>
          <c:idx val="1"/>
          <c:order val="1"/>
          <c:tx>
            <c:strRef>
              <c:f>'B.Base Year Demographics'!$W$27:$W$28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Demographics'!$W$29:$W$59</c:f>
            </c:numRef>
          </c:val>
          <c:extLst>
            <c:ext xmlns:c16="http://schemas.microsoft.com/office/drawing/2014/chart" uri="{C3380CC4-5D6E-409C-BE32-E72D297353CC}">
              <c16:uniqueId val="{00000001-9A46-D143-B2A0-19EB8A08BA01}"/>
            </c:ext>
          </c:extLst>
        </c:ser>
        <c:ser>
          <c:idx val="2"/>
          <c:order val="2"/>
          <c:tx>
            <c:strRef>
              <c:f>'B.Base Year Demographics'!$X$27:$X$28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Demographics'!$X$29:$X$59</c:f>
            </c:numRef>
          </c:val>
          <c:extLst>
            <c:ext xmlns:c16="http://schemas.microsoft.com/office/drawing/2014/chart" uri="{C3380CC4-5D6E-409C-BE32-E72D297353CC}">
              <c16:uniqueId val="{00000002-9A46-D143-B2A0-19EB8A08BA01}"/>
            </c:ext>
          </c:extLst>
        </c:ser>
        <c:ser>
          <c:idx val="3"/>
          <c:order val="3"/>
          <c:tx>
            <c:strRef>
              <c:f>'B.Base Year Demographics'!$Y$27:$Y$28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Demographics'!$Y$29:$Y$59</c:f>
            </c:numRef>
          </c:val>
          <c:extLst>
            <c:ext xmlns:c16="http://schemas.microsoft.com/office/drawing/2014/chart" uri="{C3380CC4-5D6E-409C-BE32-E72D297353CC}">
              <c16:uniqueId val="{00000003-9A46-D143-B2A0-19EB8A08BA01}"/>
            </c:ext>
          </c:extLst>
        </c:ser>
        <c:ser>
          <c:idx val="5"/>
          <c:order val="4"/>
          <c:tx>
            <c:strRef>
              <c:f>'C.Forecast Year Demographics'!$O$27:$O$28</c:f>
              <c:strCache>
                <c:ptCount val="2"/>
                <c:pt idx="0">
                  <c:v>Jobs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'C.Forecast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'C.Forecast Year Demographics'!$O$29:$O$59</c:f>
              <c:numCache>
                <c:formatCode>#,##0</c:formatCode>
                <c:ptCount val="31"/>
                <c:pt idx="0">
                  <c:v>927400</c:v>
                </c:pt>
                <c:pt idx="1">
                  <c:v>190100</c:v>
                </c:pt>
                <c:pt idx="2">
                  <c:v>124300</c:v>
                </c:pt>
                <c:pt idx="3">
                  <c:v>198000</c:v>
                </c:pt>
                <c:pt idx="4">
                  <c:v>209000</c:v>
                </c:pt>
                <c:pt idx="5">
                  <c:v>635100</c:v>
                </c:pt>
                <c:pt idx="6">
                  <c:v>198700</c:v>
                </c:pt>
                <c:pt idx="7">
                  <c:v>266100</c:v>
                </c:pt>
                <c:pt idx="8">
                  <c:v>171400</c:v>
                </c:pt>
                <c:pt idx="9">
                  <c:v>78100</c:v>
                </c:pt>
                <c:pt idx="10">
                  <c:v>68200</c:v>
                </c:pt>
                <c:pt idx="11">
                  <c:v>157500</c:v>
                </c:pt>
                <c:pt idx="12">
                  <c:v>223100</c:v>
                </c:pt>
                <c:pt idx="13">
                  <c:v>287700</c:v>
                </c:pt>
                <c:pt idx="14">
                  <c:v>361700</c:v>
                </c:pt>
                <c:pt idx="15">
                  <c:v>163900</c:v>
                </c:pt>
                <c:pt idx="16">
                  <c:v>133000</c:v>
                </c:pt>
                <c:pt idx="17">
                  <c:v>186000</c:v>
                </c:pt>
                <c:pt idx="18">
                  <c:v>74500</c:v>
                </c:pt>
                <c:pt idx="19">
                  <c:v>61100</c:v>
                </c:pt>
                <c:pt idx="20">
                  <c:v>84500</c:v>
                </c:pt>
                <c:pt idx="21">
                  <c:v>62900</c:v>
                </c:pt>
                <c:pt idx="22">
                  <c:v>140600</c:v>
                </c:pt>
                <c:pt idx="23">
                  <c:v>66900</c:v>
                </c:pt>
                <c:pt idx="24">
                  <c:v>20700</c:v>
                </c:pt>
                <c:pt idx="25">
                  <c:v>81200</c:v>
                </c:pt>
                <c:pt idx="26">
                  <c:v>132400</c:v>
                </c:pt>
                <c:pt idx="27">
                  <c:v>40200</c:v>
                </c:pt>
                <c:pt idx="28">
                  <c:v>29100</c:v>
                </c:pt>
                <c:pt idx="29">
                  <c:v>49100</c:v>
                </c:pt>
                <c:pt idx="30">
                  <c:v>40100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46-D143-B2A0-19EB8A08B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3850335"/>
        <c:axId val="849528367"/>
      </c:barChart>
      <c:catAx>
        <c:axId val="8638503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528367"/>
        <c:crosses val="autoZero"/>
        <c:auto val="1"/>
        <c:lblAlgn val="ctr"/>
        <c:lblOffset val="100"/>
        <c:noMultiLvlLbl val="0"/>
      </c:catAx>
      <c:valAx>
        <c:axId val="849528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5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Employed</a:t>
            </a:r>
            <a:r>
              <a:rPr lang="en-US" baseline="0"/>
              <a:t> Residents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'C.Forecast Year Demographics'!$P$8:$P$9</c:f>
              <c:strCache>
                <c:ptCount val="2"/>
                <c:pt idx="0">
                  <c:v>Employed Residents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'C.Forecast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'C.Forecast Year Demographics'!$P$10:$P$18</c:f>
              <c:numCache>
                <c:formatCode>#,##0</c:formatCode>
                <c:ptCount val="9"/>
                <c:pt idx="0">
                  <c:v>701800</c:v>
                </c:pt>
                <c:pt idx="1">
                  <c:v>515800</c:v>
                </c:pt>
                <c:pt idx="2">
                  <c:v>1462900</c:v>
                </c:pt>
                <c:pt idx="3">
                  <c:v>1139400</c:v>
                </c:pt>
                <c:pt idx="4">
                  <c:v>758600</c:v>
                </c:pt>
                <c:pt idx="5">
                  <c:v>254500</c:v>
                </c:pt>
                <c:pt idx="6">
                  <c:v>77800</c:v>
                </c:pt>
                <c:pt idx="7">
                  <c:v>291100</c:v>
                </c:pt>
                <c:pt idx="8">
                  <c:v>163200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0-1949-AAE1-7EB424E8E1A7}"/>
            </c:ext>
          </c:extLst>
        </c:ser>
        <c:ser>
          <c:idx val="1"/>
          <c:order val="1"/>
          <c:tx>
            <c:strRef>
              <c:f>'B.Base Year Demographics'!$AC$8:$AC$9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Demographics'!$AC$10:$AC$18</c:f>
            </c:numRef>
          </c:val>
          <c:extLst>
            <c:ext xmlns:c16="http://schemas.microsoft.com/office/drawing/2014/chart" uri="{C3380CC4-5D6E-409C-BE32-E72D297353CC}">
              <c16:uniqueId val="{00000001-A860-1949-AAE1-7EB424E8E1A7}"/>
            </c:ext>
          </c:extLst>
        </c:ser>
        <c:ser>
          <c:idx val="2"/>
          <c:order val="2"/>
          <c:tx>
            <c:strRef>
              <c:f>'B.Base Year Demographics'!$AD$8:$AD$9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Demographics'!$AD$10:$AD$18</c:f>
            </c:numRef>
          </c:val>
          <c:extLst>
            <c:ext xmlns:c16="http://schemas.microsoft.com/office/drawing/2014/chart" uri="{C3380CC4-5D6E-409C-BE32-E72D297353CC}">
              <c16:uniqueId val="{00000002-A860-1949-AAE1-7EB424E8E1A7}"/>
            </c:ext>
          </c:extLst>
        </c:ser>
        <c:ser>
          <c:idx val="3"/>
          <c:order val="3"/>
          <c:tx>
            <c:strRef>
              <c:f>'B.Base Year Demographics'!$AE$8:$AE$9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'B.Base Year Demographics'!$AE$10:$AE$18</c:f>
            </c:numRef>
          </c:val>
          <c:extLst>
            <c:ext xmlns:c16="http://schemas.microsoft.com/office/drawing/2014/chart" uri="{C3380CC4-5D6E-409C-BE32-E72D297353CC}">
              <c16:uniqueId val="{00000003-A860-1949-AAE1-7EB424E8E1A7}"/>
            </c:ext>
          </c:extLst>
        </c:ser>
        <c:ser>
          <c:idx val="5"/>
          <c:order val="4"/>
          <c:tx>
            <c:strRef>
              <c:f>'C.Forecast Year Demographics'!$R$8:$R$9</c:f>
              <c:strCache>
                <c:ptCount val="2"/>
                <c:pt idx="0">
                  <c:v>Employed Residents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'C.Forecast Year Demographics'!$C$10:$C$18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'C.Forecast Year Demographics'!$R$10:$R$18</c:f>
              <c:numCache>
                <c:formatCode>#,##0</c:formatCode>
                <c:ptCount val="9"/>
                <c:pt idx="0">
                  <c:v>716000</c:v>
                </c:pt>
                <c:pt idx="1">
                  <c:v>526300</c:v>
                </c:pt>
                <c:pt idx="2">
                  <c:v>1492500</c:v>
                </c:pt>
                <c:pt idx="3">
                  <c:v>1162400</c:v>
                </c:pt>
                <c:pt idx="4">
                  <c:v>773900</c:v>
                </c:pt>
                <c:pt idx="5">
                  <c:v>259700</c:v>
                </c:pt>
                <c:pt idx="6">
                  <c:v>79400</c:v>
                </c:pt>
                <c:pt idx="7">
                  <c:v>297000</c:v>
                </c:pt>
                <c:pt idx="8">
                  <c:v>166500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60-1949-AAE1-7EB424E8E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2528399"/>
        <c:axId val="818397583"/>
      </c:barChart>
      <c:catAx>
        <c:axId val="8625283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97583"/>
        <c:crosses val="autoZero"/>
        <c:auto val="1"/>
        <c:lblAlgn val="ctr"/>
        <c:lblOffset val="100"/>
        <c:noMultiLvlLbl val="0"/>
      </c:catAx>
      <c:valAx>
        <c:axId val="8183975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52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Employed Residents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'C.Forecast Year Demographics'!$P$27:$P$28</c:f>
              <c:strCache>
                <c:ptCount val="2"/>
                <c:pt idx="0">
                  <c:v>Employed Residents</c:v>
                </c:pt>
                <c:pt idx="1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'C.Forecast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'C.Forecast Year Demographics'!$P$29:$P$59</c:f>
              <c:numCache>
                <c:formatCode>#,##0</c:formatCode>
                <c:ptCount val="31"/>
                <c:pt idx="0">
                  <c:v>701800</c:v>
                </c:pt>
                <c:pt idx="1">
                  <c:v>224500</c:v>
                </c:pt>
                <c:pt idx="2">
                  <c:v>151800</c:v>
                </c:pt>
                <c:pt idx="3">
                  <c:v>139600</c:v>
                </c:pt>
                <c:pt idx="4">
                  <c:v>132700</c:v>
                </c:pt>
                <c:pt idx="5">
                  <c:v>418000</c:v>
                </c:pt>
                <c:pt idx="6">
                  <c:v>214600</c:v>
                </c:pt>
                <c:pt idx="7">
                  <c:v>214500</c:v>
                </c:pt>
                <c:pt idx="8">
                  <c:v>285900</c:v>
                </c:pt>
                <c:pt idx="9">
                  <c:v>133700</c:v>
                </c:pt>
                <c:pt idx="10">
                  <c:v>63500</c:v>
                </c:pt>
                <c:pt idx="11">
                  <c:v>196700</c:v>
                </c:pt>
                <c:pt idx="12">
                  <c:v>240000</c:v>
                </c:pt>
                <c:pt idx="13">
                  <c:v>217700</c:v>
                </c:pt>
                <c:pt idx="14">
                  <c:v>348400</c:v>
                </c:pt>
                <c:pt idx="15">
                  <c:v>136600</c:v>
                </c:pt>
                <c:pt idx="16">
                  <c:v>163500</c:v>
                </c:pt>
                <c:pt idx="17">
                  <c:v>186100</c:v>
                </c:pt>
                <c:pt idx="18">
                  <c:v>113100</c:v>
                </c:pt>
                <c:pt idx="19">
                  <c:v>112500</c:v>
                </c:pt>
                <c:pt idx="20">
                  <c:v>183400</c:v>
                </c:pt>
                <c:pt idx="21">
                  <c:v>80600</c:v>
                </c:pt>
                <c:pt idx="22">
                  <c:v>174000</c:v>
                </c:pt>
                <c:pt idx="23">
                  <c:v>53500</c:v>
                </c:pt>
                <c:pt idx="24">
                  <c:v>24300</c:v>
                </c:pt>
                <c:pt idx="25">
                  <c:v>115200</c:v>
                </c:pt>
                <c:pt idx="26">
                  <c:v>129500</c:v>
                </c:pt>
                <c:pt idx="27">
                  <c:v>46400</c:v>
                </c:pt>
                <c:pt idx="28">
                  <c:v>26600</c:v>
                </c:pt>
                <c:pt idx="29">
                  <c:v>72600</c:v>
                </c:pt>
                <c:pt idx="30">
                  <c:v>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6-A449-A4AD-9FBD524E9727}"/>
            </c:ext>
          </c:extLst>
        </c:ser>
        <c:ser>
          <c:idx val="1"/>
          <c:order val="1"/>
          <c:tx>
            <c:strRef>
              <c:f>'B.Base Year Demographics'!$AC$27:$AC$28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Demographics'!$AC$29:$AC$59</c:f>
            </c:numRef>
          </c:val>
          <c:extLst>
            <c:ext xmlns:c16="http://schemas.microsoft.com/office/drawing/2014/chart" uri="{C3380CC4-5D6E-409C-BE32-E72D297353CC}">
              <c16:uniqueId val="{00000001-9CA6-A449-A4AD-9FBD524E9727}"/>
            </c:ext>
          </c:extLst>
        </c:ser>
        <c:ser>
          <c:idx val="2"/>
          <c:order val="2"/>
          <c:tx>
            <c:strRef>
              <c:f>'B.Base Year Demographics'!$AD$27:$AD$28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Demographics'!$AD$29:$AD$59</c:f>
            </c:numRef>
          </c:val>
          <c:extLst>
            <c:ext xmlns:c16="http://schemas.microsoft.com/office/drawing/2014/chart" uri="{C3380CC4-5D6E-409C-BE32-E72D297353CC}">
              <c16:uniqueId val="{00000002-9CA6-A449-A4AD-9FBD524E9727}"/>
            </c:ext>
          </c:extLst>
        </c:ser>
        <c:ser>
          <c:idx val="3"/>
          <c:order val="3"/>
          <c:tx>
            <c:strRef>
              <c:f>'B.Base Year Demographics'!$AE$27:$AE$28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'B.Base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'B.Base Year Demographics'!$AE$29:$AE$59</c:f>
            </c:numRef>
          </c:val>
          <c:extLst>
            <c:ext xmlns:c16="http://schemas.microsoft.com/office/drawing/2014/chart" uri="{C3380CC4-5D6E-409C-BE32-E72D297353CC}">
              <c16:uniqueId val="{00000003-9CA6-A449-A4AD-9FBD524E9727}"/>
            </c:ext>
          </c:extLst>
        </c:ser>
        <c:ser>
          <c:idx val="5"/>
          <c:order val="4"/>
          <c:tx>
            <c:strRef>
              <c:f>'C.Forecast Year Demographics'!$R$27:$R$28</c:f>
              <c:strCache>
                <c:ptCount val="2"/>
                <c:pt idx="0">
                  <c:v>Employed Residents</c:v>
                </c:pt>
                <c:pt idx="1">
                  <c:v>max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'C.Forecast Year Demographics'!$C$29:$C$59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'C.Forecast Year Demographics'!$R$29:$R$59</c:f>
              <c:numCache>
                <c:formatCode>#,##0</c:formatCode>
                <c:ptCount val="31"/>
                <c:pt idx="0">
                  <c:v>716000</c:v>
                </c:pt>
                <c:pt idx="1">
                  <c:v>229000</c:v>
                </c:pt>
                <c:pt idx="2">
                  <c:v>154800</c:v>
                </c:pt>
                <c:pt idx="3">
                  <c:v>142400</c:v>
                </c:pt>
                <c:pt idx="4">
                  <c:v>135400</c:v>
                </c:pt>
                <c:pt idx="5">
                  <c:v>426400</c:v>
                </c:pt>
                <c:pt idx="6">
                  <c:v>218900</c:v>
                </c:pt>
                <c:pt idx="7">
                  <c:v>218900</c:v>
                </c:pt>
                <c:pt idx="8">
                  <c:v>291700</c:v>
                </c:pt>
                <c:pt idx="9">
                  <c:v>136400</c:v>
                </c:pt>
                <c:pt idx="10">
                  <c:v>64800</c:v>
                </c:pt>
                <c:pt idx="11">
                  <c:v>200600</c:v>
                </c:pt>
                <c:pt idx="12">
                  <c:v>244800</c:v>
                </c:pt>
                <c:pt idx="13">
                  <c:v>222100</c:v>
                </c:pt>
                <c:pt idx="14">
                  <c:v>355500</c:v>
                </c:pt>
                <c:pt idx="15">
                  <c:v>139400</c:v>
                </c:pt>
                <c:pt idx="16">
                  <c:v>166800</c:v>
                </c:pt>
                <c:pt idx="17">
                  <c:v>189800</c:v>
                </c:pt>
                <c:pt idx="18">
                  <c:v>115400</c:v>
                </c:pt>
                <c:pt idx="19">
                  <c:v>114800</c:v>
                </c:pt>
                <c:pt idx="20">
                  <c:v>187100</c:v>
                </c:pt>
                <c:pt idx="21">
                  <c:v>82200</c:v>
                </c:pt>
                <c:pt idx="22">
                  <c:v>177500</c:v>
                </c:pt>
                <c:pt idx="23">
                  <c:v>54600</c:v>
                </c:pt>
                <c:pt idx="24">
                  <c:v>24800</c:v>
                </c:pt>
                <c:pt idx="25">
                  <c:v>117600</c:v>
                </c:pt>
                <c:pt idx="26">
                  <c:v>132100</c:v>
                </c:pt>
                <c:pt idx="27">
                  <c:v>47400</c:v>
                </c:pt>
                <c:pt idx="28">
                  <c:v>27200</c:v>
                </c:pt>
                <c:pt idx="29">
                  <c:v>74100</c:v>
                </c:pt>
                <c:pt idx="30">
                  <c:v>65300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A6-A449-A4AD-9FBD524E9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9281887"/>
        <c:axId val="880246063"/>
      </c:barChart>
      <c:catAx>
        <c:axId val="7792818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246063"/>
        <c:crosses val="autoZero"/>
        <c:auto val="1"/>
        <c:lblAlgn val="ctr"/>
        <c:lblOffset val="100"/>
        <c:noMultiLvlLbl val="0"/>
      </c:catAx>
      <c:valAx>
        <c:axId val="8802460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28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 Ownership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'F. Forecast Auto Ownership'!$D$7</c:f>
              <c:strCache>
                <c:ptCount val="1"/>
                <c:pt idx="0">
                  <c:v>Zero Automobiles</c:v>
                </c:pt>
              </c:strCache>
            </c:strRef>
          </c:tx>
          <c:spPr>
            <a:solidFill>
              <a:schemeClr val="accent6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'F. Forecast Auto Ownership'!$C$8:$C$17</c:f>
              <c:strCache>
                <c:ptCount val="10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  <c:pt idx="9">
                  <c:v>Bay Area</c:v>
                </c:pt>
              </c:strCache>
            </c:strRef>
          </c:cat>
          <c:val>
            <c:numRef>
              <c:f>'F. Forecast Auto Ownership'!$D$8:$D$17</c:f>
              <c:numCache>
                <c:formatCode>#,##0</c:formatCode>
                <c:ptCount val="10"/>
                <c:pt idx="0">
                  <c:v>203426</c:v>
                </c:pt>
                <c:pt idx="1">
                  <c:v>32844</c:v>
                </c:pt>
                <c:pt idx="2">
                  <c:v>99870</c:v>
                </c:pt>
                <c:pt idx="3">
                  <c:v>149614</c:v>
                </c:pt>
                <c:pt idx="4">
                  <c:v>28484</c:v>
                </c:pt>
                <c:pt idx="5">
                  <c:v>7840</c:v>
                </c:pt>
                <c:pt idx="6">
                  <c:v>3128</c:v>
                </c:pt>
                <c:pt idx="7">
                  <c:v>15872</c:v>
                </c:pt>
                <c:pt idx="8">
                  <c:v>7780</c:v>
                </c:pt>
                <c:pt idx="9">
                  <c:v>548858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F-4CB0-9ED2-5BE9A9031A42}"/>
            </c:ext>
          </c:extLst>
        </c:ser>
        <c:ser>
          <c:idx val="1"/>
          <c:order val="1"/>
          <c:tx>
            <c:strRef>
              <c:f>'F. Forecast Auto Ownership'!$E$7</c:f>
              <c:strCache>
                <c:ptCount val="1"/>
                <c:pt idx="0">
                  <c:v>One Automobile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'F. Forecast Auto Ownership'!$C$8:$C$17</c:f>
              <c:strCache>
                <c:ptCount val="10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  <c:pt idx="9">
                  <c:v>Bay Area</c:v>
                </c:pt>
              </c:strCache>
            </c:strRef>
          </c:cat>
          <c:val>
            <c:numRef>
              <c:f>'F. Forecast Auto Ownership'!$E$8:$E$17</c:f>
              <c:numCache>
                <c:formatCode>#,##0</c:formatCode>
                <c:ptCount val="10"/>
                <c:pt idx="0">
                  <c:v>264524</c:v>
                </c:pt>
                <c:pt idx="1">
                  <c:v>135748</c:v>
                </c:pt>
                <c:pt idx="2">
                  <c:v>409794</c:v>
                </c:pt>
                <c:pt idx="3">
                  <c:v>286458</c:v>
                </c:pt>
                <c:pt idx="4">
                  <c:v>164838</c:v>
                </c:pt>
                <c:pt idx="5">
                  <c:v>44266</c:v>
                </c:pt>
                <c:pt idx="6">
                  <c:v>16298</c:v>
                </c:pt>
                <c:pt idx="7">
                  <c:v>62742</c:v>
                </c:pt>
                <c:pt idx="8">
                  <c:v>46312</c:v>
                </c:pt>
                <c:pt idx="9">
                  <c:v>1430980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4F-4CB0-9ED2-5BE9A9031A42}"/>
            </c:ext>
          </c:extLst>
        </c:ser>
        <c:ser>
          <c:idx val="2"/>
          <c:order val="2"/>
          <c:tx>
            <c:strRef>
              <c:f>'F. Forecast Auto Ownership'!$F$7</c:f>
              <c:strCache>
                <c:ptCount val="1"/>
                <c:pt idx="0">
                  <c:v>Two Automobiles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'F. Forecast Auto Ownership'!$C$8:$C$17</c:f>
              <c:strCache>
                <c:ptCount val="10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  <c:pt idx="9">
                  <c:v>Bay Area</c:v>
                </c:pt>
              </c:strCache>
            </c:strRef>
          </c:cat>
          <c:val>
            <c:numRef>
              <c:f>'F. Forecast Auto Ownership'!$F$8:$F$17</c:f>
              <c:numCache>
                <c:formatCode>#,##0</c:formatCode>
                <c:ptCount val="10"/>
                <c:pt idx="0">
                  <c:v>103068</c:v>
                </c:pt>
                <c:pt idx="1">
                  <c:v>146502</c:v>
                </c:pt>
                <c:pt idx="2">
                  <c:v>375292</c:v>
                </c:pt>
                <c:pt idx="3">
                  <c:v>280622</c:v>
                </c:pt>
                <c:pt idx="4">
                  <c:v>221668</c:v>
                </c:pt>
                <c:pt idx="5">
                  <c:v>68948</c:v>
                </c:pt>
                <c:pt idx="6">
                  <c:v>22856</c:v>
                </c:pt>
                <c:pt idx="7">
                  <c:v>88418</c:v>
                </c:pt>
                <c:pt idx="8">
                  <c:v>60890</c:v>
                </c:pt>
                <c:pt idx="9">
                  <c:v>1368264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4F-4CB0-9ED2-5BE9A9031A42}"/>
            </c:ext>
          </c:extLst>
        </c:ser>
        <c:ser>
          <c:idx val="3"/>
          <c:order val="3"/>
          <c:tx>
            <c:strRef>
              <c:f>'F. Forecast Auto Ownership'!$G$7</c:f>
              <c:strCache>
                <c:ptCount val="1"/>
                <c:pt idx="0">
                  <c:v>Three Automobiles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'F. Forecast Auto Ownership'!$C$8:$C$17</c:f>
              <c:strCache>
                <c:ptCount val="10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  <c:pt idx="9">
                  <c:v>Bay Area</c:v>
                </c:pt>
              </c:strCache>
            </c:strRef>
          </c:cat>
          <c:val>
            <c:numRef>
              <c:f>'F. Forecast Auto Ownership'!$G$8:$G$17</c:f>
              <c:numCache>
                <c:formatCode>#,##0</c:formatCode>
                <c:ptCount val="10"/>
                <c:pt idx="0">
                  <c:v>28020</c:v>
                </c:pt>
                <c:pt idx="1">
                  <c:v>59168</c:v>
                </c:pt>
                <c:pt idx="2">
                  <c:v>146776</c:v>
                </c:pt>
                <c:pt idx="3">
                  <c:v>117656</c:v>
                </c:pt>
                <c:pt idx="4">
                  <c:v>103344</c:v>
                </c:pt>
                <c:pt idx="5">
                  <c:v>38674</c:v>
                </c:pt>
                <c:pt idx="6">
                  <c:v>11280</c:v>
                </c:pt>
                <c:pt idx="7">
                  <c:v>42844</c:v>
                </c:pt>
                <c:pt idx="8">
                  <c:v>25136</c:v>
                </c:pt>
                <c:pt idx="9">
                  <c:v>572898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4F-4CB0-9ED2-5BE9A9031A42}"/>
            </c:ext>
          </c:extLst>
        </c:ser>
        <c:ser>
          <c:idx val="4"/>
          <c:order val="4"/>
          <c:tx>
            <c:strRef>
              <c:f>'F. Forecast Auto Ownership'!$H$7</c:f>
              <c:strCache>
                <c:ptCount val="1"/>
                <c:pt idx="0">
                  <c:v>Four-Plus Automobiles</c:v>
                </c:pt>
              </c:strCache>
            </c:strRef>
          </c:tx>
          <c:spPr>
            <a:solidFill>
              <a:schemeClr val="accent6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'F. Forecast Auto Ownership'!$C$8:$C$17</c:f>
              <c:strCache>
                <c:ptCount val="10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  <c:pt idx="9">
                  <c:v>Bay Area</c:v>
                </c:pt>
              </c:strCache>
            </c:strRef>
          </c:cat>
          <c:val>
            <c:numRef>
              <c:f>'F. Forecast Auto Ownership'!$H$8:$H$17</c:f>
              <c:numCache>
                <c:formatCode>#,##0</c:formatCode>
                <c:ptCount val="10"/>
                <c:pt idx="0">
                  <c:v>7818</c:v>
                </c:pt>
                <c:pt idx="1">
                  <c:v>27742</c:v>
                </c:pt>
                <c:pt idx="2">
                  <c:v>76806</c:v>
                </c:pt>
                <c:pt idx="3">
                  <c:v>53276</c:v>
                </c:pt>
                <c:pt idx="4">
                  <c:v>41374</c:v>
                </c:pt>
                <c:pt idx="5">
                  <c:v>20090</c:v>
                </c:pt>
                <c:pt idx="6">
                  <c:v>5666</c:v>
                </c:pt>
                <c:pt idx="7">
                  <c:v>19884</c:v>
                </c:pt>
                <c:pt idx="8">
                  <c:v>9426</c:v>
                </c:pt>
                <c:pt idx="9">
                  <c:v>262082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4F-4CB0-9ED2-5BE9A9031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54444847"/>
        <c:axId val="754435279"/>
      </c:barChart>
      <c:catAx>
        <c:axId val="7544448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35279"/>
        <c:crosses val="autoZero"/>
        <c:auto val="1"/>
        <c:lblAlgn val="ctr"/>
        <c:lblOffset val="100"/>
        <c:noMultiLvlLbl val="0"/>
      </c:catAx>
      <c:valAx>
        <c:axId val="75443527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4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297112860892389"/>
          <c:y val="0.82291557305336838"/>
          <c:w val="0.86850218722659667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 Ownership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'F. Forecast Auto Ownership'!$D$85</c:f>
              <c:strCache>
                <c:ptCount val="1"/>
                <c:pt idx="0">
                  <c:v>Zero Automobiles</c:v>
                </c:pt>
              </c:strCache>
            </c:strRef>
          </c:tx>
          <c:spPr>
            <a:solidFill>
              <a:schemeClr val="accent6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'F. Forecast Auto Ownership'!$C$86:$C$116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'F. Forecast Auto Ownership'!$D$86:$D$116</c:f>
              <c:numCache>
                <c:formatCode>#,##0</c:formatCode>
                <c:ptCount val="31"/>
                <c:pt idx="0">
                  <c:v>203426</c:v>
                </c:pt>
                <c:pt idx="1">
                  <c:v>15944</c:v>
                </c:pt>
                <c:pt idx="2">
                  <c:v>9780</c:v>
                </c:pt>
                <c:pt idx="3">
                  <c:v>7120</c:v>
                </c:pt>
                <c:pt idx="4">
                  <c:v>11840</c:v>
                </c:pt>
                <c:pt idx="5">
                  <c:v>34412</c:v>
                </c:pt>
                <c:pt idx="6">
                  <c:v>8246</c:v>
                </c:pt>
                <c:pt idx="7">
                  <c:v>30752</c:v>
                </c:pt>
                <c:pt idx="8">
                  <c:v>9994</c:v>
                </c:pt>
                <c:pt idx="9">
                  <c:v>3276</c:v>
                </c:pt>
                <c:pt idx="10">
                  <c:v>1350</c:v>
                </c:pt>
                <c:pt idx="11">
                  <c:v>4562</c:v>
                </c:pt>
                <c:pt idx="12">
                  <c:v>11856</c:v>
                </c:pt>
                <c:pt idx="13">
                  <c:v>16584</c:v>
                </c:pt>
                <c:pt idx="14">
                  <c:v>70538</c:v>
                </c:pt>
                <c:pt idx="15">
                  <c:v>46074</c:v>
                </c:pt>
                <c:pt idx="16">
                  <c:v>11480</c:v>
                </c:pt>
                <c:pt idx="17">
                  <c:v>5954</c:v>
                </c:pt>
                <c:pt idx="18">
                  <c:v>6288</c:v>
                </c:pt>
                <c:pt idx="19">
                  <c:v>986</c:v>
                </c:pt>
                <c:pt idx="20">
                  <c:v>3776</c:v>
                </c:pt>
                <c:pt idx="21">
                  <c:v>3632</c:v>
                </c:pt>
                <c:pt idx="22">
                  <c:v>4208</c:v>
                </c:pt>
                <c:pt idx="23">
                  <c:v>2130</c:v>
                </c:pt>
                <c:pt idx="24">
                  <c:v>998</c:v>
                </c:pt>
                <c:pt idx="25">
                  <c:v>5790</c:v>
                </c:pt>
                <c:pt idx="26">
                  <c:v>8648</c:v>
                </c:pt>
                <c:pt idx="27">
                  <c:v>1434</c:v>
                </c:pt>
                <c:pt idx="28">
                  <c:v>1372</c:v>
                </c:pt>
                <c:pt idx="29">
                  <c:v>3658</c:v>
                </c:pt>
                <c:pt idx="30">
                  <c:v>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3-4468-ADAA-90464CFCAC71}"/>
            </c:ext>
          </c:extLst>
        </c:ser>
        <c:ser>
          <c:idx val="1"/>
          <c:order val="1"/>
          <c:tx>
            <c:strRef>
              <c:f>'F. Forecast Auto Ownership'!$E$85</c:f>
              <c:strCache>
                <c:ptCount val="1"/>
                <c:pt idx="0">
                  <c:v>One Automobile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'F. Forecast Auto Ownership'!$C$86:$C$116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'F. Forecast Auto Ownership'!$E$86:$E$116</c:f>
              <c:numCache>
                <c:formatCode>#,##0</c:formatCode>
                <c:ptCount val="31"/>
                <c:pt idx="0">
                  <c:v>264524</c:v>
                </c:pt>
                <c:pt idx="1">
                  <c:v>55188</c:v>
                </c:pt>
                <c:pt idx="2">
                  <c:v>44056</c:v>
                </c:pt>
                <c:pt idx="3">
                  <c:v>36504</c:v>
                </c:pt>
                <c:pt idx="4">
                  <c:v>44910</c:v>
                </c:pt>
                <c:pt idx="5">
                  <c:v>156742</c:v>
                </c:pt>
                <c:pt idx="6">
                  <c:v>56708</c:v>
                </c:pt>
                <c:pt idx="7">
                  <c:v>71078</c:v>
                </c:pt>
                <c:pt idx="8">
                  <c:v>44822</c:v>
                </c:pt>
                <c:pt idx="9">
                  <c:v>24736</c:v>
                </c:pt>
                <c:pt idx="10">
                  <c:v>10798</c:v>
                </c:pt>
                <c:pt idx="11">
                  <c:v>40074</c:v>
                </c:pt>
                <c:pt idx="12">
                  <c:v>38480</c:v>
                </c:pt>
                <c:pt idx="13">
                  <c:v>46960</c:v>
                </c:pt>
                <c:pt idx="14">
                  <c:v>109444</c:v>
                </c:pt>
                <c:pt idx="15">
                  <c:v>51500</c:v>
                </c:pt>
                <c:pt idx="16">
                  <c:v>38758</c:v>
                </c:pt>
                <c:pt idx="17">
                  <c:v>43782</c:v>
                </c:pt>
                <c:pt idx="18">
                  <c:v>33338</c:v>
                </c:pt>
                <c:pt idx="19">
                  <c:v>16534</c:v>
                </c:pt>
                <c:pt idx="20">
                  <c:v>32426</c:v>
                </c:pt>
                <c:pt idx="21">
                  <c:v>16272</c:v>
                </c:pt>
                <c:pt idx="22">
                  <c:v>27994</c:v>
                </c:pt>
                <c:pt idx="23">
                  <c:v>10740</c:v>
                </c:pt>
                <c:pt idx="24">
                  <c:v>5558</c:v>
                </c:pt>
                <c:pt idx="25">
                  <c:v>25856</c:v>
                </c:pt>
                <c:pt idx="26">
                  <c:v>25878</c:v>
                </c:pt>
                <c:pt idx="27">
                  <c:v>11008</c:v>
                </c:pt>
                <c:pt idx="28">
                  <c:v>8240</c:v>
                </c:pt>
                <c:pt idx="29">
                  <c:v>22104</c:v>
                </c:pt>
                <c:pt idx="30">
                  <c:v>15968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E3-4468-ADAA-90464CFCAC71}"/>
            </c:ext>
          </c:extLst>
        </c:ser>
        <c:ser>
          <c:idx val="2"/>
          <c:order val="2"/>
          <c:tx>
            <c:strRef>
              <c:f>'F. Forecast Auto Ownership'!$F$85</c:f>
              <c:strCache>
                <c:ptCount val="1"/>
                <c:pt idx="0">
                  <c:v>Two Automobiles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'F. Forecast Auto Ownership'!$C$86:$C$116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'F. Forecast Auto Ownership'!$F$86:$F$116</c:f>
              <c:numCache>
                <c:formatCode>#,##0</c:formatCode>
                <c:ptCount val="31"/>
                <c:pt idx="0">
                  <c:v>103068</c:v>
                </c:pt>
                <c:pt idx="1">
                  <c:v>58644</c:v>
                </c:pt>
                <c:pt idx="2">
                  <c:v>46032</c:v>
                </c:pt>
                <c:pt idx="3">
                  <c:v>41826</c:v>
                </c:pt>
                <c:pt idx="4">
                  <c:v>38260</c:v>
                </c:pt>
                <c:pt idx="5">
                  <c:v>92938</c:v>
                </c:pt>
                <c:pt idx="6">
                  <c:v>70042</c:v>
                </c:pt>
                <c:pt idx="7">
                  <c:v>51100</c:v>
                </c:pt>
                <c:pt idx="8">
                  <c:v>67428</c:v>
                </c:pt>
                <c:pt idx="9">
                  <c:v>38030</c:v>
                </c:pt>
                <c:pt idx="10">
                  <c:v>17494</c:v>
                </c:pt>
                <c:pt idx="11">
                  <c:v>56452</c:v>
                </c:pt>
                <c:pt idx="12">
                  <c:v>61504</c:v>
                </c:pt>
                <c:pt idx="13">
                  <c:v>57802</c:v>
                </c:pt>
                <c:pt idx="14">
                  <c:v>76756</c:v>
                </c:pt>
                <c:pt idx="15">
                  <c:v>28108</c:v>
                </c:pt>
                <c:pt idx="16">
                  <c:v>44816</c:v>
                </c:pt>
                <c:pt idx="17">
                  <c:v>52446</c:v>
                </c:pt>
                <c:pt idx="18">
                  <c:v>34120</c:v>
                </c:pt>
                <c:pt idx="19">
                  <c:v>32874</c:v>
                </c:pt>
                <c:pt idx="20">
                  <c:v>57412</c:v>
                </c:pt>
                <c:pt idx="21">
                  <c:v>21868</c:v>
                </c:pt>
                <c:pt idx="22">
                  <c:v>47080</c:v>
                </c:pt>
                <c:pt idx="23">
                  <c:v>15842</c:v>
                </c:pt>
                <c:pt idx="24">
                  <c:v>7014</c:v>
                </c:pt>
                <c:pt idx="25">
                  <c:v>33810</c:v>
                </c:pt>
                <c:pt idx="26">
                  <c:v>38000</c:v>
                </c:pt>
                <c:pt idx="27">
                  <c:v>16608</c:v>
                </c:pt>
                <c:pt idx="28">
                  <c:v>12650</c:v>
                </c:pt>
                <c:pt idx="29">
                  <c:v>27016</c:v>
                </c:pt>
                <c:pt idx="30">
                  <c:v>21224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E3-4468-ADAA-90464CFCAC71}"/>
            </c:ext>
          </c:extLst>
        </c:ser>
        <c:ser>
          <c:idx val="3"/>
          <c:order val="3"/>
          <c:tx>
            <c:strRef>
              <c:f>'F. Forecast Auto Ownership'!$G$85</c:f>
              <c:strCache>
                <c:ptCount val="1"/>
                <c:pt idx="0">
                  <c:v>Three Automobiles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'F. Forecast Auto Ownership'!$C$86:$C$116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'F. Forecast Auto Ownership'!$G$86:$G$116</c:f>
              <c:numCache>
                <c:formatCode>#,##0</c:formatCode>
                <c:ptCount val="31"/>
                <c:pt idx="0">
                  <c:v>28020</c:v>
                </c:pt>
                <c:pt idx="1">
                  <c:v>25858</c:v>
                </c:pt>
                <c:pt idx="2">
                  <c:v>17106</c:v>
                </c:pt>
                <c:pt idx="3">
                  <c:v>16204</c:v>
                </c:pt>
                <c:pt idx="4">
                  <c:v>12800</c:v>
                </c:pt>
                <c:pt idx="5">
                  <c:v>25286</c:v>
                </c:pt>
                <c:pt idx="6">
                  <c:v>26504</c:v>
                </c:pt>
                <c:pt idx="7">
                  <c:v>18900</c:v>
                </c:pt>
                <c:pt idx="8">
                  <c:v>36508</c:v>
                </c:pt>
                <c:pt idx="9">
                  <c:v>17428</c:v>
                </c:pt>
                <c:pt idx="10">
                  <c:v>9350</c:v>
                </c:pt>
                <c:pt idx="11">
                  <c:v>22998</c:v>
                </c:pt>
                <c:pt idx="12">
                  <c:v>28994</c:v>
                </c:pt>
                <c:pt idx="13">
                  <c:v>29634</c:v>
                </c:pt>
                <c:pt idx="14">
                  <c:v>28220</c:v>
                </c:pt>
                <c:pt idx="15">
                  <c:v>7810</c:v>
                </c:pt>
                <c:pt idx="16">
                  <c:v>20614</c:v>
                </c:pt>
                <c:pt idx="17">
                  <c:v>23378</c:v>
                </c:pt>
                <c:pt idx="18">
                  <c:v>13798</c:v>
                </c:pt>
                <c:pt idx="19">
                  <c:v>14596</c:v>
                </c:pt>
                <c:pt idx="20">
                  <c:v>30958</c:v>
                </c:pt>
                <c:pt idx="21">
                  <c:v>11206</c:v>
                </c:pt>
                <c:pt idx="22">
                  <c:v>27468</c:v>
                </c:pt>
                <c:pt idx="23">
                  <c:v>8030</c:v>
                </c:pt>
                <c:pt idx="24">
                  <c:v>3250</c:v>
                </c:pt>
                <c:pt idx="25">
                  <c:v>16392</c:v>
                </c:pt>
                <c:pt idx="26">
                  <c:v>18624</c:v>
                </c:pt>
                <c:pt idx="27">
                  <c:v>7828</c:v>
                </c:pt>
                <c:pt idx="28">
                  <c:v>5754</c:v>
                </c:pt>
                <c:pt idx="29">
                  <c:v>11210</c:v>
                </c:pt>
                <c:pt idx="30">
                  <c:v>8172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E3-4468-ADAA-90464CFCAC71}"/>
            </c:ext>
          </c:extLst>
        </c:ser>
        <c:ser>
          <c:idx val="4"/>
          <c:order val="4"/>
          <c:tx>
            <c:strRef>
              <c:f>'F. Forecast Auto Ownership'!$H$85</c:f>
              <c:strCache>
                <c:ptCount val="1"/>
                <c:pt idx="0">
                  <c:v>Four-Plus Automobiles</c:v>
                </c:pt>
              </c:strCache>
            </c:strRef>
          </c:tx>
          <c:spPr>
            <a:solidFill>
              <a:schemeClr val="accent6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'F. Forecast Auto Ownership'!$C$86:$C$116</c:f>
              <c:strCache>
                <c:ptCount val="31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</c:strCache>
            </c:strRef>
          </c:cat>
          <c:val>
            <c:numRef>
              <c:f>'F. Forecast Auto Ownership'!$H$86:$H$116</c:f>
              <c:numCache>
                <c:formatCode>#,##0</c:formatCode>
                <c:ptCount val="31"/>
                <c:pt idx="0">
                  <c:v>7818</c:v>
                </c:pt>
                <c:pt idx="1">
                  <c:v>13462</c:v>
                </c:pt>
                <c:pt idx="2">
                  <c:v>6724</c:v>
                </c:pt>
                <c:pt idx="3">
                  <c:v>7556</c:v>
                </c:pt>
                <c:pt idx="4">
                  <c:v>4852</c:v>
                </c:pt>
                <c:pt idx="5">
                  <c:v>12036</c:v>
                </c:pt>
                <c:pt idx="6">
                  <c:v>11248</c:v>
                </c:pt>
                <c:pt idx="7">
                  <c:v>10702</c:v>
                </c:pt>
                <c:pt idx="8">
                  <c:v>24224</c:v>
                </c:pt>
                <c:pt idx="9">
                  <c:v>8510</c:v>
                </c:pt>
                <c:pt idx="10">
                  <c:v>5234</c:v>
                </c:pt>
                <c:pt idx="11">
                  <c:v>8812</c:v>
                </c:pt>
                <c:pt idx="12">
                  <c:v>14474</c:v>
                </c:pt>
                <c:pt idx="13">
                  <c:v>14790</c:v>
                </c:pt>
                <c:pt idx="14">
                  <c:v>12282</c:v>
                </c:pt>
                <c:pt idx="15">
                  <c:v>2918</c:v>
                </c:pt>
                <c:pt idx="16">
                  <c:v>9324</c:v>
                </c:pt>
                <c:pt idx="17">
                  <c:v>9828</c:v>
                </c:pt>
                <c:pt idx="18">
                  <c:v>3984</c:v>
                </c:pt>
                <c:pt idx="19">
                  <c:v>5070</c:v>
                </c:pt>
                <c:pt idx="20">
                  <c:v>13168</c:v>
                </c:pt>
                <c:pt idx="21">
                  <c:v>5640</c:v>
                </c:pt>
                <c:pt idx="22">
                  <c:v>14450</c:v>
                </c:pt>
                <c:pt idx="23">
                  <c:v>4274</c:v>
                </c:pt>
                <c:pt idx="24">
                  <c:v>1392</c:v>
                </c:pt>
                <c:pt idx="25">
                  <c:v>7370</c:v>
                </c:pt>
                <c:pt idx="26">
                  <c:v>9066</c:v>
                </c:pt>
                <c:pt idx="27">
                  <c:v>3448</c:v>
                </c:pt>
                <c:pt idx="28">
                  <c:v>2220</c:v>
                </c:pt>
                <c:pt idx="29">
                  <c:v>4438</c:v>
                </c:pt>
                <c:pt idx="30">
                  <c:v>2768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E3-4468-ADAA-90464CFCA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54444847"/>
        <c:axId val="754435279"/>
      </c:barChart>
      <c:catAx>
        <c:axId val="7544448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35279"/>
        <c:crosses val="autoZero"/>
        <c:auto val="1"/>
        <c:lblAlgn val="ctr"/>
        <c:lblOffset val="100"/>
        <c:noMultiLvlLbl val="0"/>
      </c:catAx>
      <c:valAx>
        <c:axId val="75443527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44847"/>
        <c:crosses val="autoZero"/>
        <c:crossBetween val="between"/>
      </c:valAx>
      <c:spPr>
        <a:noFill/>
        <a:ln w="9525"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11297120674691144"/>
          <c:y val="0.94426496409784655"/>
          <c:w val="0.86850218722659667"/>
          <c:h val="3.72294115409486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Trip Frequency by Purpose,</a:t>
            </a:r>
            <a:r>
              <a:rPr lang="en-US" baseline="0"/>
              <a:t> by County of Residence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'G.Forecast Activity Pattern'!$D$7</c:f>
              <c:strCache>
                <c:ptCount val="1"/>
                <c:pt idx="0">
                  <c:v>Work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'G.Forecast Activity Pattern'!$C$8:$C$17</c:f>
              <c:strCache>
                <c:ptCount val="10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  <c:pt idx="9">
                  <c:v>Bay Area</c:v>
                </c:pt>
              </c:strCache>
            </c:strRef>
          </c:cat>
          <c:val>
            <c:numRef>
              <c:f>'G.Forecast Activity Pattern'!$D$8:$D$17</c:f>
              <c:numCache>
                <c:formatCode>#,##0</c:formatCode>
                <c:ptCount val="10"/>
                <c:pt idx="0">
                  <c:v>1439406</c:v>
                </c:pt>
                <c:pt idx="1">
                  <c:v>1023706</c:v>
                </c:pt>
                <c:pt idx="2">
                  <c:v>2824866</c:v>
                </c:pt>
                <c:pt idx="3">
                  <c:v>1994558</c:v>
                </c:pt>
                <c:pt idx="4">
                  <c:v>1339380</c:v>
                </c:pt>
                <c:pt idx="5">
                  <c:v>465242</c:v>
                </c:pt>
                <c:pt idx="6">
                  <c:v>151396</c:v>
                </c:pt>
                <c:pt idx="7">
                  <c:v>538424</c:v>
                </c:pt>
                <c:pt idx="8">
                  <c:v>331150</c:v>
                </c:pt>
                <c:pt idx="9">
                  <c:v>10108128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1-4C66-9713-D0994A30EFA2}"/>
            </c:ext>
          </c:extLst>
        </c:ser>
        <c:ser>
          <c:idx val="1"/>
          <c:order val="1"/>
          <c:tx>
            <c:strRef>
              <c:f>'G.Forecast Activity Pattern'!$E$7</c:f>
              <c:strCache>
                <c:ptCount val="1"/>
                <c:pt idx="0">
                  <c:v>University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'G.Forecast Activity Pattern'!$C$8:$C$17</c:f>
              <c:strCache>
                <c:ptCount val="10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  <c:pt idx="9">
                  <c:v>Bay Area</c:v>
                </c:pt>
              </c:strCache>
            </c:strRef>
          </c:cat>
          <c:val>
            <c:numRef>
              <c:f>'G.Forecast Activity Pattern'!$E$8:$E$17</c:f>
              <c:numCache>
                <c:formatCode>#,##0</c:formatCode>
                <c:ptCount val="10"/>
                <c:pt idx="0">
                  <c:v>145202</c:v>
                </c:pt>
                <c:pt idx="1">
                  <c:v>51232</c:v>
                </c:pt>
                <c:pt idx="2">
                  <c:v>259134</c:v>
                </c:pt>
                <c:pt idx="3">
                  <c:v>258762</c:v>
                </c:pt>
                <c:pt idx="4">
                  <c:v>74704</c:v>
                </c:pt>
                <c:pt idx="5">
                  <c:v>24722</c:v>
                </c:pt>
                <c:pt idx="6">
                  <c:v>7288</c:v>
                </c:pt>
                <c:pt idx="7">
                  <c:v>33652</c:v>
                </c:pt>
                <c:pt idx="8">
                  <c:v>17264</c:v>
                </c:pt>
                <c:pt idx="9">
                  <c:v>871960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41-4C66-9713-D0994A30EFA2}"/>
            </c:ext>
          </c:extLst>
        </c:ser>
        <c:ser>
          <c:idx val="2"/>
          <c:order val="2"/>
          <c:tx>
            <c:strRef>
              <c:f>'G.Forecast Activity Pattern'!$F$7</c:f>
              <c:strCache>
                <c:ptCount val="1"/>
                <c:pt idx="0">
                  <c:v>School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'G.Forecast Activity Pattern'!$C$8:$C$17</c:f>
              <c:strCache>
                <c:ptCount val="10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  <c:pt idx="9">
                  <c:v>Bay Area</c:v>
                </c:pt>
              </c:strCache>
            </c:strRef>
          </c:cat>
          <c:val>
            <c:numRef>
              <c:f>'G.Forecast Activity Pattern'!$F$8:$F$17</c:f>
              <c:numCache>
                <c:formatCode>#,##0</c:formatCode>
                <c:ptCount val="10"/>
                <c:pt idx="0">
                  <c:v>210458</c:v>
                </c:pt>
                <c:pt idx="1">
                  <c:v>298854</c:v>
                </c:pt>
                <c:pt idx="2">
                  <c:v>904426</c:v>
                </c:pt>
                <c:pt idx="3">
                  <c:v>647198</c:v>
                </c:pt>
                <c:pt idx="4">
                  <c:v>493098</c:v>
                </c:pt>
                <c:pt idx="5">
                  <c:v>169378</c:v>
                </c:pt>
                <c:pt idx="6">
                  <c:v>46322</c:v>
                </c:pt>
                <c:pt idx="7">
                  <c:v>170224</c:v>
                </c:pt>
                <c:pt idx="8">
                  <c:v>92210</c:v>
                </c:pt>
                <c:pt idx="9">
                  <c:v>3032168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41-4C66-9713-D0994A30EFA2}"/>
            </c:ext>
          </c:extLst>
        </c:ser>
        <c:ser>
          <c:idx val="3"/>
          <c:order val="3"/>
          <c:tx>
            <c:strRef>
              <c:f>'G.Forecast Activity Pattern'!$G$7</c:f>
              <c:strCache>
                <c:ptCount val="1"/>
                <c:pt idx="0">
                  <c:v>At-Work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'G.Forecast Activity Pattern'!$C$8:$C$17</c:f>
              <c:strCache>
                <c:ptCount val="10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  <c:pt idx="9">
                  <c:v>Bay Area</c:v>
                </c:pt>
              </c:strCache>
            </c:strRef>
          </c:cat>
          <c:val>
            <c:numRef>
              <c:f>'G.Forecast Activity Pattern'!$G$8:$G$17</c:f>
              <c:numCache>
                <c:formatCode>#,##0</c:formatCode>
                <c:ptCount val="10"/>
                <c:pt idx="0">
                  <c:v>307770</c:v>
                </c:pt>
                <c:pt idx="1">
                  <c:v>233368</c:v>
                </c:pt>
                <c:pt idx="2">
                  <c:v>604000</c:v>
                </c:pt>
                <c:pt idx="3">
                  <c:v>435472</c:v>
                </c:pt>
                <c:pt idx="4">
                  <c:v>319046</c:v>
                </c:pt>
                <c:pt idx="5">
                  <c:v>106668</c:v>
                </c:pt>
                <c:pt idx="6">
                  <c:v>33140</c:v>
                </c:pt>
                <c:pt idx="7">
                  <c:v>112730</c:v>
                </c:pt>
                <c:pt idx="8">
                  <c:v>69362</c:v>
                </c:pt>
                <c:pt idx="9">
                  <c:v>2221556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41-4C66-9713-D0994A30EFA2}"/>
            </c:ext>
          </c:extLst>
        </c:ser>
        <c:ser>
          <c:idx val="4"/>
          <c:order val="4"/>
          <c:tx>
            <c:strRef>
              <c:f>'G.Forecast Activity Pattern'!$H$7</c:f>
              <c:strCache>
                <c:ptCount val="1"/>
                <c:pt idx="0">
                  <c:v>Eat Out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'G.Forecast Activity Pattern'!$C$8:$C$17</c:f>
              <c:strCache>
                <c:ptCount val="10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  <c:pt idx="9">
                  <c:v>Bay Area</c:v>
                </c:pt>
              </c:strCache>
            </c:strRef>
          </c:cat>
          <c:val>
            <c:numRef>
              <c:f>'G.Forecast Activity Pattern'!$H$8:$H$17</c:f>
              <c:numCache>
                <c:formatCode>#,##0</c:formatCode>
                <c:ptCount val="10"/>
                <c:pt idx="0">
                  <c:v>264462</c:v>
                </c:pt>
                <c:pt idx="1">
                  <c:v>202940</c:v>
                </c:pt>
                <c:pt idx="2">
                  <c:v>575896</c:v>
                </c:pt>
                <c:pt idx="3">
                  <c:v>432830</c:v>
                </c:pt>
                <c:pt idx="4">
                  <c:v>285474</c:v>
                </c:pt>
                <c:pt idx="5">
                  <c:v>89592</c:v>
                </c:pt>
                <c:pt idx="6">
                  <c:v>27084</c:v>
                </c:pt>
                <c:pt idx="7">
                  <c:v>101816</c:v>
                </c:pt>
                <c:pt idx="8">
                  <c:v>70586</c:v>
                </c:pt>
                <c:pt idx="9">
                  <c:v>2050680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41-4C66-9713-D0994A30EFA2}"/>
            </c:ext>
          </c:extLst>
        </c:ser>
        <c:ser>
          <c:idx val="5"/>
          <c:order val="5"/>
          <c:tx>
            <c:strRef>
              <c:f>'G.Forecast Activity Pattern'!$I$7</c:f>
              <c:strCache>
                <c:ptCount val="1"/>
                <c:pt idx="0">
                  <c:v>Escort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'G.Forecast Activity Pattern'!$C$8:$C$17</c:f>
              <c:strCache>
                <c:ptCount val="10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  <c:pt idx="9">
                  <c:v>Bay Area</c:v>
                </c:pt>
              </c:strCache>
            </c:strRef>
          </c:cat>
          <c:val>
            <c:numRef>
              <c:f>'G.Forecast Activity Pattern'!$I$8:$I$17</c:f>
              <c:numCache>
                <c:formatCode>#,##0</c:formatCode>
                <c:ptCount val="10"/>
                <c:pt idx="0">
                  <c:v>206162</c:v>
                </c:pt>
                <c:pt idx="1">
                  <c:v>250402</c:v>
                </c:pt>
                <c:pt idx="2">
                  <c:v>799038</c:v>
                </c:pt>
                <c:pt idx="3">
                  <c:v>556718</c:v>
                </c:pt>
                <c:pt idx="4">
                  <c:v>408692</c:v>
                </c:pt>
                <c:pt idx="5">
                  <c:v>146044</c:v>
                </c:pt>
                <c:pt idx="6">
                  <c:v>39298</c:v>
                </c:pt>
                <c:pt idx="7">
                  <c:v>144622</c:v>
                </c:pt>
                <c:pt idx="8">
                  <c:v>86488</c:v>
                </c:pt>
                <c:pt idx="9">
                  <c:v>2637464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41-4C66-9713-D0994A30EFA2}"/>
            </c:ext>
          </c:extLst>
        </c:ser>
        <c:ser>
          <c:idx val="6"/>
          <c:order val="6"/>
          <c:tx>
            <c:strRef>
              <c:f>'G.Forecast Activity Pattern'!$J$7</c:f>
              <c:strCache>
                <c:ptCount val="1"/>
                <c:pt idx="0">
                  <c:v>Shopping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'G.Forecast Activity Pattern'!$C$8:$C$17</c:f>
              <c:strCache>
                <c:ptCount val="10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  <c:pt idx="9">
                  <c:v>Bay Area</c:v>
                </c:pt>
              </c:strCache>
            </c:strRef>
          </c:cat>
          <c:val>
            <c:numRef>
              <c:f>'G.Forecast Activity Pattern'!$J$8:$J$17</c:f>
              <c:numCache>
                <c:formatCode>#,##0</c:formatCode>
                <c:ptCount val="10"/>
                <c:pt idx="0">
                  <c:v>674056</c:v>
                </c:pt>
                <c:pt idx="1">
                  <c:v>597494</c:v>
                </c:pt>
                <c:pt idx="2">
                  <c:v>1685098</c:v>
                </c:pt>
                <c:pt idx="3">
                  <c:v>1287452</c:v>
                </c:pt>
                <c:pt idx="4">
                  <c:v>912304</c:v>
                </c:pt>
                <c:pt idx="5">
                  <c:v>297624</c:v>
                </c:pt>
                <c:pt idx="6">
                  <c:v>89328</c:v>
                </c:pt>
                <c:pt idx="7">
                  <c:v>338710</c:v>
                </c:pt>
                <c:pt idx="8">
                  <c:v>227236</c:v>
                </c:pt>
                <c:pt idx="9">
                  <c:v>6109302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41-4C66-9713-D0994A30EFA2}"/>
            </c:ext>
          </c:extLst>
        </c:ser>
        <c:ser>
          <c:idx val="7"/>
          <c:order val="7"/>
          <c:tx>
            <c:strRef>
              <c:f>'G.Forecast Activity Pattern'!$K$7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'G.Forecast Activity Pattern'!$C$8:$C$17</c:f>
              <c:strCache>
                <c:ptCount val="10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  <c:pt idx="9">
                  <c:v>Bay Area</c:v>
                </c:pt>
              </c:strCache>
            </c:strRef>
          </c:cat>
          <c:val>
            <c:numRef>
              <c:f>'G.Forecast Activity Pattern'!$K$8:$K$17</c:f>
              <c:numCache>
                <c:formatCode>#,##0</c:formatCode>
                <c:ptCount val="10"/>
                <c:pt idx="0">
                  <c:v>168380</c:v>
                </c:pt>
                <c:pt idx="1">
                  <c:v>144974</c:v>
                </c:pt>
                <c:pt idx="2">
                  <c:v>432676</c:v>
                </c:pt>
                <c:pt idx="3">
                  <c:v>333814</c:v>
                </c:pt>
                <c:pt idx="4">
                  <c:v>219434</c:v>
                </c:pt>
                <c:pt idx="5">
                  <c:v>73644</c:v>
                </c:pt>
                <c:pt idx="6">
                  <c:v>21472</c:v>
                </c:pt>
                <c:pt idx="7">
                  <c:v>81304</c:v>
                </c:pt>
                <c:pt idx="8">
                  <c:v>50506</c:v>
                </c:pt>
                <c:pt idx="9">
                  <c:v>1526204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741-4C66-9713-D0994A30EFA2}"/>
            </c:ext>
          </c:extLst>
        </c:ser>
        <c:ser>
          <c:idx val="8"/>
          <c:order val="8"/>
          <c:tx>
            <c:strRef>
              <c:f>'G.Forecast Activity Pattern'!$L$7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'G.Forecast Activity Pattern'!$C$8:$C$17</c:f>
              <c:strCache>
                <c:ptCount val="10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  <c:pt idx="9">
                  <c:v>Bay Area</c:v>
                </c:pt>
              </c:strCache>
            </c:strRef>
          </c:cat>
          <c:val>
            <c:numRef>
              <c:f>'G.Forecast Activity Pattern'!$L$8:$L$17</c:f>
              <c:numCache>
                <c:formatCode>#,##0</c:formatCode>
                <c:ptCount val="10"/>
                <c:pt idx="0">
                  <c:v>932928</c:v>
                </c:pt>
                <c:pt idx="1">
                  <c:v>878710</c:v>
                </c:pt>
                <c:pt idx="2">
                  <c:v>2511598</c:v>
                </c:pt>
                <c:pt idx="3">
                  <c:v>1872686</c:v>
                </c:pt>
                <c:pt idx="4">
                  <c:v>1328242</c:v>
                </c:pt>
                <c:pt idx="5">
                  <c:v>439600</c:v>
                </c:pt>
                <c:pt idx="6">
                  <c:v>131302</c:v>
                </c:pt>
                <c:pt idx="7">
                  <c:v>486154</c:v>
                </c:pt>
                <c:pt idx="8">
                  <c:v>314716</c:v>
                </c:pt>
                <c:pt idx="9">
                  <c:v>8895936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41-4C66-9713-D0994A30E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39284671"/>
        <c:axId val="1139279263"/>
      </c:barChart>
      <c:catAx>
        <c:axId val="11392846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279263"/>
        <c:crosses val="autoZero"/>
        <c:auto val="1"/>
        <c:lblAlgn val="ctr"/>
        <c:lblOffset val="100"/>
        <c:noMultiLvlLbl val="0"/>
      </c:catAx>
      <c:valAx>
        <c:axId val="11392792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28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Trip Frequency by Purpose,</a:t>
            </a:r>
            <a:r>
              <a:rPr lang="en-US" baseline="0"/>
              <a:t> by Superdistrict of Residence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'G.Forecast Activity Pattern'!$D$55</c:f>
              <c:strCache>
                <c:ptCount val="1"/>
                <c:pt idx="0">
                  <c:v>Work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'G.Forecast Activity Pattern'!$C$56:$C$87</c:f>
              <c:strCache>
                <c:ptCount val="32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  <c:pt idx="31">
                  <c:v>Bay Area</c:v>
                </c:pt>
              </c:strCache>
            </c:strRef>
          </c:cat>
          <c:val>
            <c:numRef>
              <c:f>'G.Forecast Activity Pattern'!$D$56:$D$87</c:f>
              <c:numCache>
                <c:formatCode>#,##0</c:formatCode>
                <c:ptCount val="32"/>
                <c:pt idx="0">
                  <c:v>1439406</c:v>
                </c:pt>
                <c:pt idx="1">
                  <c:v>464992</c:v>
                </c:pt>
                <c:pt idx="2">
                  <c:v>292234</c:v>
                </c:pt>
                <c:pt idx="3">
                  <c:v>266480</c:v>
                </c:pt>
                <c:pt idx="4">
                  <c:v>241928</c:v>
                </c:pt>
                <c:pt idx="5">
                  <c:v>803332</c:v>
                </c:pt>
                <c:pt idx="6">
                  <c:v>415690</c:v>
                </c:pt>
                <c:pt idx="7">
                  <c:v>454170</c:v>
                </c:pt>
                <c:pt idx="8">
                  <c:v>546644</c:v>
                </c:pt>
                <c:pt idx="9">
                  <c:v>247704</c:v>
                </c:pt>
                <c:pt idx="10">
                  <c:v>115398</c:v>
                </c:pt>
                <c:pt idx="11">
                  <c:v>353206</c:v>
                </c:pt>
                <c:pt idx="12">
                  <c:v>384114</c:v>
                </c:pt>
                <c:pt idx="13">
                  <c:v>394224</c:v>
                </c:pt>
                <c:pt idx="14">
                  <c:v>608666</c:v>
                </c:pt>
                <c:pt idx="15">
                  <c:v>254348</c:v>
                </c:pt>
                <c:pt idx="16">
                  <c:v>290418</c:v>
                </c:pt>
                <c:pt idx="17">
                  <c:v>340862</c:v>
                </c:pt>
                <c:pt idx="18">
                  <c:v>186694</c:v>
                </c:pt>
                <c:pt idx="19">
                  <c:v>174660</c:v>
                </c:pt>
                <c:pt idx="20">
                  <c:v>346746</c:v>
                </c:pt>
                <c:pt idx="21">
                  <c:v>141412</c:v>
                </c:pt>
                <c:pt idx="22">
                  <c:v>323830</c:v>
                </c:pt>
                <c:pt idx="23">
                  <c:v>113102</c:v>
                </c:pt>
                <c:pt idx="24">
                  <c:v>38294</c:v>
                </c:pt>
                <c:pt idx="25">
                  <c:v>213844</c:v>
                </c:pt>
                <c:pt idx="26">
                  <c:v>240442</c:v>
                </c:pt>
                <c:pt idx="27">
                  <c:v>84138</c:v>
                </c:pt>
                <c:pt idx="28">
                  <c:v>71112</c:v>
                </c:pt>
                <c:pt idx="29">
                  <c:v>156396</c:v>
                </c:pt>
                <c:pt idx="30">
                  <c:v>103642</c:v>
                </c:pt>
                <c:pt idx="31">
                  <c:v>10108128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D-458D-A406-0CB97B1A00F0}"/>
            </c:ext>
          </c:extLst>
        </c:ser>
        <c:ser>
          <c:idx val="1"/>
          <c:order val="1"/>
          <c:tx>
            <c:strRef>
              <c:f>'G.Forecast Activity Pattern'!$E$55</c:f>
              <c:strCache>
                <c:ptCount val="1"/>
                <c:pt idx="0">
                  <c:v>University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'G.Forecast Activity Pattern'!$C$56:$C$87</c:f>
              <c:strCache>
                <c:ptCount val="32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  <c:pt idx="31">
                  <c:v>Bay Area</c:v>
                </c:pt>
              </c:strCache>
            </c:strRef>
          </c:cat>
          <c:val>
            <c:numRef>
              <c:f>'G.Forecast Activity Pattern'!$E$56:$E$87</c:f>
              <c:numCache>
                <c:formatCode>#,##0</c:formatCode>
                <c:ptCount val="32"/>
                <c:pt idx="0">
                  <c:v>145202</c:v>
                </c:pt>
                <c:pt idx="1">
                  <c:v>24590</c:v>
                </c:pt>
                <c:pt idx="2">
                  <c:v>13666</c:v>
                </c:pt>
                <c:pt idx="3">
                  <c:v>12976</c:v>
                </c:pt>
                <c:pt idx="4">
                  <c:v>47240</c:v>
                </c:pt>
                <c:pt idx="5">
                  <c:v>57238</c:v>
                </c:pt>
                <c:pt idx="6">
                  <c:v>36406</c:v>
                </c:pt>
                <c:pt idx="7">
                  <c:v>52424</c:v>
                </c:pt>
                <c:pt idx="8">
                  <c:v>41356</c:v>
                </c:pt>
                <c:pt idx="9">
                  <c:v>16608</c:v>
                </c:pt>
                <c:pt idx="10">
                  <c:v>7862</c:v>
                </c:pt>
                <c:pt idx="11">
                  <c:v>14094</c:v>
                </c:pt>
                <c:pt idx="12">
                  <c:v>30490</c:v>
                </c:pt>
                <c:pt idx="13">
                  <c:v>28882</c:v>
                </c:pt>
                <c:pt idx="14">
                  <c:v>56536</c:v>
                </c:pt>
                <c:pt idx="15">
                  <c:v>128760</c:v>
                </c:pt>
                <c:pt idx="16">
                  <c:v>18998</c:v>
                </c:pt>
                <c:pt idx="17">
                  <c:v>15968</c:v>
                </c:pt>
                <c:pt idx="18">
                  <c:v>10368</c:v>
                </c:pt>
                <c:pt idx="19">
                  <c:v>7504</c:v>
                </c:pt>
                <c:pt idx="20">
                  <c:v>21866</c:v>
                </c:pt>
                <c:pt idx="21">
                  <c:v>8254</c:v>
                </c:pt>
                <c:pt idx="22">
                  <c:v>16468</c:v>
                </c:pt>
                <c:pt idx="23">
                  <c:v>4414</c:v>
                </c:pt>
                <c:pt idx="24">
                  <c:v>2874</c:v>
                </c:pt>
                <c:pt idx="25">
                  <c:v>18330</c:v>
                </c:pt>
                <c:pt idx="26">
                  <c:v>12156</c:v>
                </c:pt>
                <c:pt idx="27">
                  <c:v>3166</c:v>
                </c:pt>
                <c:pt idx="28">
                  <c:v>2574</c:v>
                </c:pt>
                <c:pt idx="29">
                  <c:v>8734</c:v>
                </c:pt>
                <c:pt idx="30">
                  <c:v>5956</c:v>
                </c:pt>
                <c:pt idx="31">
                  <c:v>871960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0D-458D-A406-0CB97B1A00F0}"/>
            </c:ext>
          </c:extLst>
        </c:ser>
        <c:ser>
          <c:idx val="2"/>
          <c:order val="2"/>
          <c:tx>
            <c:strRef>
              <c:f>'G.Forecast Activity Pattern'!$F$55</c:f>
              <c:strCache>
                <c:ptCount val="1"/>
                <c:pt idx="0">
                  <c:v>School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'G.Forecast Activity Pattern'!$C$56:$C$87</c:f>
              <c:strCache>
                <c:ptCount val="32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  <c:pt idx="31">
                  <c:v>Bay Area</c:v>
                </c:pt>
              </c:strCache>
            </c:strRef>
          </c:cat>
          <c:val>
            <c:numRef>
              <c:f>'G.Forecast Activity Pattern'!$F$56:$F$87</c:f>
              <c:numCache>
                <c:formatCode>#,##0</c:formatCode>
                <c:ptCount val="32"/>
                <c:pt idx="0">
                  <c:v>210458</c:v>
                </c:pt>
                <c:pt idx="1">
                  <c:v>124886</c:v>
                </c:pt>
                <c:pt idx="2">
                  <c:v>81586</c:v>
                </c:pt>
                <c:pt idx="3">
                  <c:v>92382</c:v>
                </c:pt>
                <c:pt idx="4">
                  <c:v>56986</c:v>
                </c:pt>
                <c:pt idx="5">
                  <c:v>212930</c:v>
                </c:pt>
                <c:pt idx="6">
                  <c:v>146292</c:v>
                </c:pt>
                <c:pt idx="7">
                  <c:v>124324</c:v>
                </c:pt>
                <c:pt idx="8">
                  <c:v>213616</c:v>
                </c:pt>
                <c:pt idx="9">
                  <c:v>94878</c:v>
                </c:pt>
                <c:pt idx="10">
                  <c:v>55400</c:v>
                </c:pt>
                <c:pt idx="11">
                  <c:v>130626</c:v>
                </c:pt>
                <c:pt idx="12">
                  <c:v>154514</c:v>
                </c:pt>
                <c:pt idx="13">
                  <c:v>134344</c:v>
                </c:pt>
                <c:pt idx="14">
                  <c:v>208208</c:v>
                </c:pt>
                <c:pt idx="15">
                  <c:v>19506</c:v>
                </c:pt>
                <c:pt idx="16">
                  <c:v>104832</c:v>
                </c:pt>
                <c:pt idx="17">
                  <c:v>109480</c:v>
                </c:pt>
                <c:pt idx="18">
                  <c:v>47332</c:v>
                </c:pt>
                <c:pt idx="19">
                  <c:v>70248</c:v>
                </c:pt>
                <c:pt idx="20">
                  <c:v>161206</c:v>
                </c:pt>
                <c:pt idx="21">
                  <c:v>50366</c:v>
                </c:pt>
                <c:pt idx="22">
                  <c:v>119012</c:v>
                </c:pt>
                <c:pt idx="23">
                  <c:v>37238</c:v>
                </c:pt>
                <c:pt idx="24">
                  <c:v>9084</c:v>
                </c:pt>
                <c:pt idx="25">
                  <c:v>61724</c:v>
                </c:pt>
                <c:pt idx="26">
                  <c:v>77872</c:v>
                </c:pt>
                <c:pt idx="27">
                  <c:v>30628</c:v>
                </c:pt>
                <c:pt idx="28">
                  <c:v>20934</c:v>
                </c:pt>
                <c:pt idx="29">
                  <c:v>43844</c:v>
                </c:pt>
                <c:pt idx="30">
                  <c:v>27432</c:v>
                </c:pt>
                <c:pt idx="31">
                  <c:v>3032168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0D-458D-A406-0CB97B1A00F0}"/>
            </c:ext>
          </c:extLst>
        </c:ser>
        <c:ser>
          <c:idx val="3"/>
          <c:order val="3"/>
          <c:tx>
            <c:strRef>
              <c:f>'G.Forecast Activity Pattern'!$G$55</c:f>
              <c:strCache>
                <c:ptCount val="1"/>
                <c:pt idx="0">
                  <c:v>At-Work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'G.Forecast Activity Pattern'!$C$56:$C$87</c:f>
              <c:strCache>
                <c:ptCount val="32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  <c:pt idx="31">
                  <c:v>Bay Area</c:v>
                </c:pt>
              </c:strCache>
            </c:strRef>
          </c:cat>
          <c:val>
            <c:numRef>
              <c:f>'G.Forecast Activity Pattern'!$G$56:$G$87</c:f>
              <c:numCache>
                <c:formatCode>#,##0</c:formatCode>
                <c:ptCount val="32"/>
                <c:pt idx="0">
                  <c:v>307770</c:v>
                </c:pt>
                <c:pt idx="1">
                  <c:v>106590</c:v>
                </c:pt>
                <c:pt idx="2">
                  <c:v>67822</c:v>
                </c:pt>
                <c:pt idx="3">
                  <c:v>58956</c:v>
                </c:pt>
                <c:pt idx="4">
                  <c:v>53286</c:v>
                </c:pt>
                <c:pt idx="5">
                  <c:v>166862</c:v>
                </c:pt>
                <c:pt idx="6">
                  <c:v>93832</c:v>
                </c:pt>
                <c:pt idx="7">
                  <c:v>87882</c:v>
                </c:pt>
                <c:pt idx="8">
                  <c:v>123364</c:v>
                </c:pt>
                <c:pt idx="9">
                  <c:v>54498</c:v>
                </c:pt>
                <c:pt idx="10">
                  <c:v>24276</c:v>
                </c:pt>
                <c:pt idx="11">
                  <c:v>81572</c:v>
                </c:pt>
                <c:pt idx="12">
                  <c:v>91812</c:v>
                </c:pt>
                <c:pt idx="13">
                  <c:v>90148</c:v>
                </c:pt>
                <c:pt idx="14">
                  <c:v>125260</c:v>
                </c:pt>
                <c:pt idx="15">
                  <c:v>46680</c:v>
                </c:pt>
                <c:pt idx="16">
                  <c:v>65304</c:v>
                </c:pt>
                <c:pt idx="17">
                  <c:v>80406</c:v>
                </c:pt>
                <c:pt idx="18">
                  <c:v>46396</c:v>
                </c:pt>
                <c:pt idx="19">
                  <c:v>43780</c:v>
                </c:pt>
                <c:pt idx="20">
                  <c:v>83160</c:v>
                </c:pt>
                <c:pt idx="21">
                  <c:v>33506</c:v>
                </c:pt>
                <c:pt idx="22">
                  <c:v>73162</c:v>
                </c:pt>
                <c:pt idx="23">
                  <c:v>25098</c:v>
                </c:pt>
                <c:pt idx="24">
                  <c:v>8042</c:v>
                </c:pt>
                <c:pt idx="25">
                  <c:v>45018</c:v>
                </c:pt>
                <c:pt idx="26">
                  <c:v>50048</c:v>
                </c:pt>
                <c:pt idx="27">
                  <c:v>17664</c:v>
                </c:pt>
                <c:pt idx="28">
                  <c:v>14048</c:v>
                </c:pt>
                <c:pt idx="29">
                  <c:v>32230</c:v>
                </c:pt>
                <c:pt idx="30">
                  <c:v>23084</c:v>
                </c:pt>
                <c:pt idx="31">
                  <c:v>2221556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0D-458D-A406-0CB97B1A00F0}"/>
            </c:ext>
          </c:extLst>
        </c:ser>
        <c:ser>
          <c:idx val="4"/>
          <c:order val="4"/>
          <c:tx>
            <c:strRef>
              <c:f>'G.Forecast Activity Pattern'!$H$55</c:f>
              <c:strCache>
                <c:ptCount val="1"/>
                <c:pt idx="0">
                  <c:v>Eat Out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'G.Forecast Activity Pattern'!$C$56:$C$87</c:f>
              <c:strCache>
                <c:ptCount val="32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  <c:pt idx="31">
                  <c:v>Bay Area</c:v>
                </c:pt>
              </c:strCache>
            </c:strRef>
          </c:cat>
          <c:val>
            <c:numRef>
              <c:f>'G.Forecast Activity Pattern'!$H$56:$H$87</c:f>
              <c:numCache>
                <c:formatCode>#,##0</c:formatCode>
                <c:ptCount val="32"/>
                <c:pt idx="0">
                  <c:v>264462</c:v>
                </c:pt>
                <c:pt idx="1">
                  <c:v>85572</c:v>
                </c:pt>
                <c:pt idx="2">
                  <c:v>60962</c:v>
                </c:pt>
                <c:pt idx="3">
                  <c:v>56406</c:v>
                </c:pt>
                <c:pt idx="4">
                  <c:v>56168</c:v>
                </c:pt>
                <c:pt idx="5">
                  <c:v>152798</c:v>
                </c:pt>
                <c:pt idx="6">
                  <c:v>92912</c:v>
                </c:pt>
                <c:pt idx="7">
                  <c:v>86820</c:v>
                </c:pt>
                <c:pt idx="8">
                  <c:v>111572</c:v>
                </c:pt>
                <c:pt idx="9">
                  <c:v>52018</c:v>
                </c:pt>
                <c:pt idx="10">
                  <c:v>23608</c:v>
                </c:pt>
                <c:pt idx="11">
                  <c:v>73658</c:v>
                </c:pt>
                <c:pt idx="12">
                  <c:v>87224</c:v>
                </c:pt>
                <c:pt idx="13">
                  <c:v>86884</c:v>
                </c:pt>
                <c:pt idx="14">
                  <c:v>126972</c:v>
                </c:pt>
                <c:pt idx="15">
                  <c:v>58092</c:v>
                </c:pt>
                <c:pt idx="16">
                  <c:v>63836</c:v>
                </c:pt>
                <c:pt idx="17">
                  <c:v>68766</c:v>
                </c:pt>
                <c:pt idx="18">
                  <c:v>41626</c:v>
                </c:pt>
                <c:pt idx="19">
                  <c:v>37372</c:v>
                </c:pt>
                <c:pt idx="20">
                  <c:v>73874</c:v>
                </c:pt>
                <c:pt idx="21">
                  <c:v>28826</c:v>
                </c:pt>
                <c:pt idx="22">
                  <c:v>60766</c:v>
                </c:pt>
                <c:pt idx="23">
                  <c:v>20230</c:v>
                </c:pt>
                <c:pt idx="24">
                  <c:v>6854</c:v>
                </c:pt>
                <c:pt idx="25">
                  <c:v>38510</c:v>
                </c:pt>
                <c:pt idx="26">
                  <c:v>46066</c:v>
                </c:pt>
                <c:pt idx="27">
                  <c:v>17240</c:v>
                </c:pt>
                <c:pt idx="28">
                  <c:v>14912</c:v>
                </c:pt>
                <c:pt idx="29">
                  <c:v>32678</c:v>
                </c:pt>
                <c:pt idx="30">
                  <c:v>22996</c:v>
                </c:pt>
                <c:pt idx="31">
                  <c:v>2050680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0D-458D-A406-0CB97B1A00F0}"/>
            </c:ext>
          </c:extLst>
        </c:ser>
        <c:ser>
          <c:idx val="5"/>
          <c:order val="5"/>
          <c:tx>
            <c:strRef>
              <c:f>'G.Forecast Activity Pattern'!$I$55</c:f>
              <c:strCache>
                <c:ptCount val="1"/>
                <c:pt idx="0">
                  <c:v>Escort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'G.Forecast Activity Pattern'!$C$56:$C$87</c:f>
              <c:strCache>
                <c:ptCount val="32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  <c:pt idx="31">
                  <c:v>Bay Area</c:v>
                </c:pt>
              </c:strCache>
            </c:strRef>
          </c:cat>
          <c:val>
            <c:numRef>
              <c:f>'G.Forecast Activity Pattern'!$I$56:$I$87</c:f>
              <c:numCache>
                <c:formatCode>#,##0</c:formatCode>
                <c:ptCount val="32"/>
                <c:pt idx="0">
                  <c:v>206162</c:v>
                </c:pt>
                <c:pt idx="1">
                  <c:v>101146</c:v>
                </c:pt>
                <c:pt idx="2">
                  <c:v>70408</c:v>
                </c:pt>
                <c:pt idx="3">
                  <c:v>78848</c:v>
                </c:pt>
                <c:pt idx="4">
                  <c:v>60834</c:v>
                </c:pt>
                <c:pt idx="5">
                  <c:v>203288</c:v>
                </c:pt>
                <c:pt idx="6">
                  <c:v>123854</c:v>
                </c:pt>
                <c:pt idx="7">
                  <c:v>110746</c:v>
                </c:pt>
                <c:pt idx="8">
                  <c:v>180144</c:v>
                </c:pt>
                <c:pt idx="9">
                  <c:v>78502</c:v>
                </c:pt>
                <c:pt idx="10">
                  <c:v>41670</c:v>
                </c:pt>
                <c:pt idx="11">
                  <c:v>102574</c:v>
                </c:pt>
                <c:pt idx="12">
                  <c:v>141444</c:v>
                </c:pt>
                <c:pt idx="13">
                  <c:v>117758</c:v>
                </c:pt>
                <c:pt idx="14">
                  <c:v>156258</c:v>
                </c:pt>
                <c:pt idx="15">
                  <c:v>38684</c:v>
                </c:pt>
                <c:pt idx="16">
                  <c:v>84880</c:v>
                </c:pt>
                <c:pt idx="17">
                  <c:v>90734</c:v>
                </c:pt>
                <c:pt idx="18">
                  <c:v>46502</c:v>
                </c:pt>
                <c:pt idx="19">
                  <c:v>60184</c:v>
                </c:pt>
                <c:pt idx="20">
                  <c:v>126392</c:v>
                </c:pt>
                <c:pt idx="21">
                  <c:v>41522</c:v>
                </c:pt>
                <c:pt idx="22">
                  <c:v>104522</c:v>
                </c:pt>
                <c:pt idx="23">
                  <c:v>30824</c:v>
                </c:pt>
                <c:pt idx="24">
                  <c:v>8474</c:v>
                </c:pt>
                <c:pt idx="25">
                  <c:v>50976</c:v>
                </c:pt>
                <c:pt idx="26">
                  <c:v>67734</c:v>
                </c:pt>
                <c:pt idx="27">
                  <c:v>25912</c:v>
                </c:pt>
                <c:pt idx="28">
                  <c:v>18502</c:v>
                </c:pt>
                <c:pt idx="29">
                  <c:v>39918</c:v>
                </c:pt>
                <c:pt idx="30">
                  <c:v>28068</c:v>
                </c:pt>
                <c:pt idx="31">
                  <c:v>2637464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0D-458D-A406-0CB97B1A00F0}"/>
            </c:ext>
          </c:extLst>
        </c:ser>
        <c:ser>
          <c:idx val="6"/>
          <c:order val="6"/>
          <c:tx>
            <c:strRef>
              <c:f>'G.Forecast Activity Pattern'!$J$55</c:f>
              <c:strCache>
                <c:ptCount val="1"/>
                <c:pt idx="0">
                  <c:v>Shopping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'G.Forecast Activity Pattern'!$C$56:$C$87</c:f>
              <c:strCache>
                <c:ptCount val="32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  <c:pt idx="31">
                  <c:v>Bay Area</c:v>
                </c:pt>
              </c:strCache>
            </c:strRef>
          </c:cat>
          <c:val>
            <c:numRef>
              <c:f>'G.Forecast Activity Pattern'!$J$56:$J$87</c:f>
              <c:numCache>
                <c:formatCode>#,##0</c:formatCode>
                <c:ptCount val="32"/>
                <c:pt idx="0">
                  <c:v>674056</c:v>
                </c:pt>
                <c:pt idx="1">
                  <c:v>249154</c:v>
                </c:pt>
                <c:pt idx="2">
                  <c:v>182122</c:v>
                </c:pt>
                <c:pt idx="3">
                  <c:v>166218</c:v>
                </c:pt>
                <c:pt idx="4">
                  <c:v>156618</c:v>
                </c:pt>
                <c:pt idx="5">
                  <c:v>411500</c:v>
                </c:pt>
                <c:pt idx="6">
                  <c:v>281970</c:v>
                </c:pt>
                <c:pt idx="7">
                  <c:v>248486</c:v>
                </c:pt>
                <c:pt idx="8">
                  <c:v>360166</c:v>
                </c:pt>
                <c:pt idx="9">
                  <c:v>154868</c:v>
                </c:pt>
                <c:pt idx="10">
                  <c:v>71490</c:v>
                </c:pt>
                <c:pt idx="11">
                  <c:v>194718</c:v>
                </c:pt>
                <c:pt idx="12">
                  <c:v>271268</c:v>
                </c:pt>
                <c:pt idx="13">
                  <c:v>278658</c:v>
                </c:pt>
                <c:pt idx="14">
                  <c:v>396388</c:v>
                </c:pt>
                <c:pt idx="15">
                  <c:v>146420</c:v>
                </c:pt>
                <c:pt idx="16">
                  <c:v>202768</c:v>
                </c:pt>
                <c:pt idx="17">
                  <c:v>209660</c:v>
                </c:pt>
                <c:pt idx="18">
                  <c:v>136610</c:v>
                </c:pt>
                <c:pt idx="19">
                  <c:v>117240</c:v>
                </c:pt>
                <c:pt idx="20">
                  <c:v>246026</c:v>
                </c:pt>
                <c:pt idx="21">
                  <c:v>94252</c:v>
                </c:pt>
                <c:pt idx="22">
                  <c:v>203372</c:v>
                </c:pt>
                <c:pt idx="23">
                  <c:v>64744</c:v>
                </c:pt>
                <c:pt idx="24">
                  <c:v>24584</c:v>
                </c:pt>
                <c:pt idx="25">
                  <c:v>123704</c:v>
                </c:pt>
                <c:pt idx="26">
                  <c:v>153816</c:v>
                </c:pt>
                <c:pt idx="27">
                  <c:v>61190</c:v>
                </c:pt>
                <c:pt idx="28">
                  <c:v>47142</c:v>
                </c:pt>
                <c:pt idx="29">
                  <c:v>102236</c:v>
                </c:pt>
                <c:pt idx="30">
                  <c:v>77858</c:v>
                </c:pt>
                <c:pt idx="31">
                  <c:v>6109302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0D-458D-A406-0CB97B1A00F0}"/>
            </c:ext>
          </c:extLst>
        </c:ser>
        <c:ser>
          <c:idx val="7"/>
          <c:order val="7"/>
          <c:tx>
            <c:strRef>
              <c:f>'G.Forecast Activity Pattern'!$K$55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'G.Forecast Activity Pattern'!$C$56:$C$87</c:f>
              <c:strCache>
                <c:ptCount val="32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  <c:pt idx="31">
                  <c:v>Bay Area</c:v>
                </c:pt>
              </c:strCache>
            </c:strRef>
          </c:cat>
          <c:val>
            <c:numRef>
              <c:f>'G.Forecast Activity Pattern'!$K$56:$K$87</c:f>
              <c:numCache>
                <c:formatCode>#,##0</c:formatCode>
                <c:ptCount val="32"/>
                <c:pt idx="0">
                  <c:v>168380</c:v>
                </c:pt>
                <c:pt idx="1">
                  <c:v>62904</c:v>
                </c:pt>
                <c:pt idx="2">
                  <c:v>41620</c:v>
                </c:pt>
                <c:pt idx="3">
                  <c:v>40450</c:v>
                </c:pt>
                <c:pt idx="4">
                  <c:v>34894</c:v>
                </c:pt>
                <c:pt idx="5">
                  <c:v>103226</c:v>
                </c:pt>
                <c:pt idx="6">
                  <c:v>65822</c:v>
                </c:pt>
                <c:pt idx="7">
                  <c:v>67850</c:v>
                </c:pt>
                <c:pt idx="8">
                  <c:v>99230</c:v>
                </c:pt>
                <c:pt idx="9">
                  <c:v>41590</c:v>
                </c:pt>
                <c:pt idx="10">
                  <c:v>20064</c:v>
                </c:pt>
                <c:pt idx="11">
                  <c:v>51600</c:v>
                </c:pt>
                <c:pt idx="12">
                  <c:v>72602</c:v>
                </c:pt>
                <c:pt idx="13">
                  <c:v>69934</c:v>
                </c:pt>
                <c:pt idx="14">
                  <c:v>105142</c:v>
                </c:pt>
                <c:pt idx="15">
                  <c:v>34536</c:v>
                </c:pt>
                <c:pt idx="16">
                  <c:v>49864</c:v>
                </c:pt>
                <c:pt idx="17">
                  <c:v>49538</c:v>
                </c:pt>
                <c:pt idx="18">
                  <c:v>31204</c:v>
                </c:pt>
                <c:pt idx="19">
                  <c:v>28128</c:v>
                </c:pt>
                <c:pt idx="20">
                  <c:v>60700</c:v>
                </c:pt>
                <c:pt idx="21">
                  <c:v>22512</c:v>
                </c:pt>
                <c:pt idx="22">
                  <c:v>51132</c:v>
                </c:pt>
                <c:pt idx="23">
                  <c:v>15814</c:v>
                </c:pt>
                <c:pt idx="24">
                  <c:v>5658</c:v>
                </c:pt>
                <c:pt idx="25">
                  <c:v>29894</c:v>
                </c:pt>
                <c:pt idx="26">
                  <c:v>37022</c:v>
                </c:pt>
                <c:pt idx="27">
                  <c:v>14388</c:v>
                </c:pt>
                <c:pt idx="28">
                  <c:v>10864</c:v>
                </c:pt>
                <c:pt idx="29">
                  <c:v>23166</c:v>
                </c:pt>
                <c:pt idx="30">
                  <c:v>16476</c:v>
                </c:pt>
                <c:pt idx="31">
                  <c:v>1526204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D0D-458D-A406-0CB97B1A00F0}"/>
            </c:ext>
          </c:extLst>
        </c:ser>
        <c:ser>
          <c:idx val="8"/>
          <c:order val="8"/>
          <c:tx>
            <c:strRef>
              <c:f>'G.Forecast Activity Pattern'!$L$55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'G.Forecast Activity Pattern'!$C$56:$C$87</c:f>
              <c:strCache>
                <c:ptCount val="32"/>
                <c:pt idx="0">
                  <c:v>San Francisco County (Combined)</c:v>
                </c:pt>
                <c:pt idx="1">
                  <c:v>North San Mateo County</c:v>
                </c:pt>
                <c:pt idx="2">
                  <c:v>Central San Mateo County</c:v>
                </c:pt>
                <c:pt idx="3">
                  <c:v>South San Mateo County</c:v>
                </c:pt>
                <c:pt idx="4">
                  <c:v>Northwest Santa Clara County</c:v>
                </c:pt>
                <c:pt idx="5">
                  <c:v>North Santa Clara County</c:v>
                </c:pt>
                <c:pt idx="6">
                  <c:v>West Santa Clara County</c:v>
                </c:pt>
                <c:pt idx="7">
                  <c:v>Central Santa Clara County</c:v>
                </c:pt>
                <c:pt idx="8">
                  <c:v>East Santa Clara County</c:v>
                </c:pt>
                <c:pt idx="9">
                  <c:v>Central South Santa Clara County</c:v>
                </c:pt>
                <c:pt idx="10">
                  <c:v>South Santa Clara County</c:v>
                </c:pt>
                <c:pt idx="11">
                  <c:v>East Alameda County</c:v>
                </c:pt>
                <c:pt idx="12">
                  <c:v>South Alameda County</c:v>
                </c:pt>
                <c:pt idx="13">
                  <c:v>Central Alameda County</c:v>
                </c:pt>
                <c:pt idx="14">
                  <c:v>North Alameda County</c:v>
                </c:pt>
                <c:pt idx="15">
                  <c:v>Northwest Alameda County</c:v>
                </c:pt>
                <c:pt idx="16">
                  <c:v>West Contra Costa County</c:v>
                </c:pt>
                <c:pt idx="17">
                  <c:v>North Contra Costa County</c:v>
                </c:pt>
                <c:pt idx="18">
                  <c:v>Central Contra Costa County</c:v>
                </c:pt>
                <c:pt idx="19">
                  <c:v>South Contra Costa County</c:v>
                </c:pt>
                <c:pt idx="20">
                  <c:v>East Contra Costa County</c:v>
                </c:pt>
                <c:pt idx="21">
                  <c:v>South Solano County</c:v>
                </c:pt>
                <c:pt idx="22">
                  <c:v>North Solano County</c:v>
                </c:pt>
                <c:pt idx="23">
                  <c:v>South Napa County</c:v>
                </c:pt>
                <c:pt idx="24">
                  <c:v>North Napa County</c:v>
                </c:pt>
                <c:pt idx="25">
                  <c:v>South Sonoma County</c:v>
                </c:pt>
                <c:pt idx="26">
                  <c:v>Central Sonoma County</c:v>
                </c:pt>
                <c:pt idx="27">
                  <c:v>North Sonoma County</c:v>
                </c:pt>
                <c:pt idx="28">
                  <c:v>North Marin County</c:v>
                </c:pt>
                <c:pt idx="29">
                  <c:v>Central Marin County</c:v>
                </c:pt>
                <c:pt idx="30">
                  <c:v>South Marin County</c:v>
                </c:pt>
                <c:pt idx="31">
                  <c:v>Bay Area</c:v>
                </c:pt>
              </c:strCache>
            </c:strRef>
          </c:cat>
          <c:val>
            <c:numRef>
              <c:f>'G.Forecast Activity Pattern'!$L$56:$L$87</c:f>
              <c:numCache>
                <c:formatCode>#,##0</c:formatCode>
                <c:ptCount val="32"/>
                <c:pt idx="0">
                  <c:v>932928</c:v>
                </c:pt>
                <c:pt idx="1">
                  <c:v>362602</c:v>
                </c:pt>
                <c:pt idx="2">
                  <c:v>261488</c:v>
                </c:pt>
                <c:pt idx="3">
                  <c:v>254620</c:v>
                </c:pt>
                <c:pt idx="4">
                  <c:v>218670</c:v>
                </c:pt>
                <c:pt idx="5">
                  <c:v>615250</c:v>
                </c:pt>
                <c:pt idx="6">
                  <c:v>408978</c:v>
                </c:pt>
                <c:pt idx="7">
                  <c:v>372252</c:v>
                </c:pt>
                <c:pt idx="8">
                  <c:v>551458</c:v>
                </c:pt>
                <c:pt idx="9">
                  <c:v>230584</c:v>
                </c:pt>
                <c:pt idx="10">
                  <c:v>114406</c:v>
                </c:pt>
                <c:pt idx="11">
                  <c:v>290564</c:v>
                </c:pt>
                <c:pt idx="12">
                  <c:v>408662</c:v>
                </c:pt>
                <c:pt idx="13">
                  <c:v>415404</c:v>
                </c:pt>
                <c:pt idx="14">
                  <c:v>570920</c:v>
                </c:pt>
                <c:pt idx="15">
                  <c:v>187136</c:v>
                </c:pt>
                <c:pt idx="16">
                  <c:v>294814</c:v>
                </c:pt>
                <c:pt idx="17">
                  <c:v>302352</c:v>
                </c:pt>
                <c:pt idx="18">
                  <c:v>192950</c:v>
                </c:pt>
                <c:pt idx="19">
                  <c:v>173866</c:v>
                </c:pt>
                <c:pt idx="20">
                  <c:v>364260</c:v>
                </c:pt>
                <c:pt idx="21">
                  <c:v>133582</c:v>
                </c:pt>
                <c:pt idx="22">
                  <c:v>306018</c:v>
                </c:pt>
                <c:pt idx="23">
                  <c:v>98548</c:v>
                </c:pt>
                <c:pt idx="24">
                  <c:v>32754</c:v>
                </c:pt>
                <c:pt idx="25">
                  <c:v>177682</c:v>
                </c:pt>
                <c:pt idx="26">
                  <c:v>222010</c:v>
                </c:pt>
                <c:pt idx="27">
                  <c:v>86462</c:v>
                </c:pt>
                <c:pt idx="28">
                  <c:v>64466</c:v>
                </c:pt>
                <c:pt idx="29">
                  <c:v>146568</c:v>
                </c:pt>
                <c:pt idx="30">
                  <c:v>103682</c:v>
                </c:pt>
                <c:pt idx="31">
                  <c:v>8895936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0D-458D-A406-0CB97B1A0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39284671"/>
        <c:axId val="1139279263"/>
      </c:barChart>
      <c:catAx>
        <c:axId val="11392846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279263"/>
        <c:crosses val="autoZero"/>
        <c:auto val="1"/>
        <c:lblAlgn val="ctr"/>
        <c:lblOffset val="100"/>
        <c:noMultiLvlLbl val="0"/>
      </c:catAx>
      <c:valAx>
        <c:axId val="11392792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28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'I.Forecast Mode Choice'!$D$7</c:f>
              <c:strCache>
                <c:ptCount val="1"/>
                <c:pt idx="0">
                  <c:v>Drive Alone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'I.Forecast Mode Choice'!$B$8:$C$98</c:f>
              <c:multiLvlStrCache>
                <c:ptCount val="91"/>
                <c:lvl>
                  <c:pt idx="0">
                    <c:v>Work</c:v>
                  </c:pt>
                  <c:pt idx="1">
                    <c:v>University</c:v>
                  </c:pt>
                  <c:pt idx="2">
                    <c:v>School</c:v>
                  </c:pt>
                  <c:pt idx="3">
                    <c:v>At-Work</c:v>
                  </c:pt>
                  <c:pt idx="4">
                    <c:v>Eat Out</c:v>
                  </c:pt>
                  <c:pt idx="5">
                    <c:v>Escort</c:v>
                  </c:pt>
                  <c:pt idx="6">
                    <c:v>Shopping</c:v>
                  </c:pt>
                  <c:pt idx="7">
                    <c:v>Social</c:v>
                  </c:pt>
                  <c:pt idx="8">
                    <c:v>Other</c:v>
                  </c:pt>
                  <c:pt idx="9">
                    <c:v>Total</c:v>
                  </c:pt>
                  <c:pt idx="10">
                    <c:v>Work</c:v>
                  </c:pt>
                  <c:pt idx="11">
                    <c:v>University</c:v>
                  </c:pt>
                  <c:pt idx="12">
                    <c:v>School</c:v>
                  </c:pt>
                  <c:pt idx="13">
                    <c:v>At-Work</c:v>
                  </c:pt>
                  <c:pt idx="14">
                    <c:v>Eat Out</c:v>
                  </c:pt>
                  <c:pt idx="15">
                    <c:v>Escort</c:v>
                  </c:pt>
                  <c:pt idx="16">
                    <c:v>Shopping</c:v>
                  </c:pt>
                  <c:pt idx="17">
                    <c:v>Social</c:v>
                  </c:pt>
                  <c:pt idx="18">
                    <c:v>Other</c:v>
                  </c:pt>
                  <c:pt idx="19">
                    <c:v>Total</c:v>
                  </c:pt>
                  <c:pt idx="20">
                    <c:v>Work</c:v>
                  </c:pt>
                  <c:pt idx="21">
                    <c:v>University</c:v>
                  </c:pt>
                  <c:pt idx="22">
                    <c:v>School</c:v>
                  </c:pt>
                  <c:pt idx="23">
                    <c:v>At-Work</c:v>
                  </c:pt>
                  <c:pt idx="24">
                    <c:v>Eat Out</c:v>
                  </c:pt>
                  <c:pt idx="25">
                    <c:v>Escort</c:v>
                  </c:pt>
                  <c:pt idx="26">
                    <c:v>Shopping</c:v>
                  </c:pt>
                  <c:pt idx="27">
                    <c:v>Social</c:v>
                  </c:pt>
                  <c:pt idx="28">
                    <c:v>Other</c:v>
                  </c:pt>
                  <c:pt idx="29">
                    <c:v>Total</c:v>
                  </c:pt>
                  <c:pt idx="30">
                    <c:v>Work</c:v>
                  </c:pt>
                  <c:pt idx="31">
                    <c:v>University</c:v>
                  </c:pt>
                  <c:pt idx="32">
                    <c:v>School</c:v>
                  </c:pt>
                  <c:pt idx="33">
                    <c:v>At-Work</c:v>
                  </c:pt>
                  <c:pt idx="34">
                    <c:v>Eat Out</c:v>
                  </c:pt>
                  <c:pt idx="35">
                    <c:v>Escort</c:v>
                  </c:pt>
                  <c:pt idx="36">
                    <c:v>Shopping</c:v>
                  </c:pt>
                  <c:pt idx="37">
                    <c:v>Social</c:v>
                  </c:pt>
                  <c:pt idx="38">
                    <c:v>Other</c:v>
                  </c:pt>
                  <c:pt idx="39">
                    <c:v>Total</c:v>
                  </c:pt>
                  <c:pt idx="40">
                    <c:v>Work</c:v>
                  </c:pt>
                  <c:pt idx="41">
                    <c:v>University</c:v>
                  </c:pt>
                  <c:pt idx="42">
                    <c:v>School</c:v>
                  </c:pt>
                  <c:pt idx="43">
                    <c:v>At-Work</c:v>
                  </c:pt>
                  <c:pt idx="44">
                    <c:v>Eat Out</c:v>
                  </c:pt>
                  <c:pt idx="45">
                    <c:v>Escort</c:v>
                  </c:pt>
                  <c:pt idx="46">
                    <c:v>Shopping</c:v>
                  </c:pt>
                  <c:pt idx="47">
                    <c:v>Social</c:v>
                  </c:pt>
                  <c:pt idx="48">
                    <c:v>Other</c:v>
                  </c:pt>
                  <c:pt idx="49">
                    <c:v>Total</c:v>
                  </c:pt>
                  <c:pt idx="50">
                    <c:v>Work</c:v>
                  </c:pt>
                  <c:pt idx="51">
                    <c:v>University</c:v>
                  </c:pt>
                  <c:pt idx="52">
                    <c:v>School</c:v>
                  </c:pt>
                  <c:pt idx="53">
                    <c:v>At-Work</c:v>
                  </c:pt>
                  <c:pt idx="54">
                    <c:v>Eat Out</c:v>
                  </c:pt>
                  <c:pt idx="55">
                    <c:v>Escort</c:v>
                  </c:pt>
                  <c:pt idx="56">
                    <c:v>Shopping</c:v>
                  </c:pt>
                  <c:pt idx="57">
                    <c:v>Social</c:v>
                  </c:pt>
                  <c:pt idx="58">
                    <c:v>Other</c:v>
                  </c:pt>
                  <c:pt idx="59">
                    <c:v>Total</c:v>
                  </c:pt>
                  <c:pt idx="60">
                    <c:v>Work</c:v>
                  </c:pt>
                  <c:pt idx="61">
                    <c:v>University</c:v>
                  </c:pt>
                  <c:pt idx="62">
                    <c:v>School</c:v>
                  </c:pt>
                  <c:pt idx="63">
                    <c:v>At-Work</c:v>
                  </c:pt>
                  <c:pt idx="64">
                    <c:v>Eat Out</c:v>
                  </c:pt>
                  <c:pt idx="65">
                    <c:v>Escort</c:v>
                  </c:pt>
                  <c:pt idx="66">
                    <c:v>Shopping</c:v>
                  </c:pt>
                  <c:pt idx="67">
                    <c:v>Social</c:v>
                  </c:pt>
                  <c:pt idx="68">
                    <c:v>Other</c:v>
                  </c:pt>
                  <c:pt idx="69">
                    <c:v>Total</c:v>
                  </c:pt>
                  <c:pt idx="70">
                    <c:v>Work</c:v>
                  </c:pt>
                  <c:pt idx="71">
                    <c:v>University</c:v>
                  </c:pt>
                  <c:pt idx="72">
                    <c:v>School</c:v>
                  </c:pt>
                  <c:pt idx="73">
                    <c:v>At-Work</c:v>
                  </c:pt>
                  <c:pt idx="74">
                    <c:v>Eat Out</c:v>
                  </c:pt>
                  <c:pt idx="75">
                    <c:v>Escort</c:v>
                  </c:pt>
                  <c:pt idx="76">
                    <c:v>Shopping</c:v>
                  </c:pt>
                  <c:pt idx="77">
                    <c:v>Social</c:v>
                  </c:pt>
                  <c:pt idx="78">
                    <c:v>Other</c:v>
                  </c:pt>
                  <c:pt idx="79">
                    <c:v>Total</c:v>
                  </c:pt>
                  <c:pt idx="80">
                    <c:v>Work</c:v>
                  </c:pt>
                  <c:pt idx="81">
                    <c:v>University</c:v>
                  </c:pt>
                  <c:pt idx="82">
                    <c:v>School</c:v>
                  </c:pt>
                  <c:pt idx="83">
                    <c:v>At-Work</c:v>
                  </c:pt>
                  <c:pt idx="84">
                    <c:v>Eat Out</c:v>
                  </c:pt>
                  <c:pt idx="85">
                    <c:v>Escort</c:v>
                  </c:pt>
                  <c:pt idx="86">
                    <c:v>Shopping</c:v>
                  </c:pt>
                  <c:pt idx="87">
                    <c:v>Social</c:v>
                  </c:pt>
                  <c:pt idx="88">
                    <c:v>Other</c:v>
                  </c:pt>
                  <c:pt idx="89">
                    <c:v>Total</c:v>
                  </c:pt>
                </c:lvl>
                <c:lvl>
                  <c:pt idx="0">
                    <c:v>San Francisco</c:v>
                  </c:pt>
                  <c:pt idx="10">
                    <c:v>San Mateo</c:v>
                  </c:pt>
                  <c:pt idx="20">
                    <c:v>Santa Clara</c:v>
                  </c:pt>
                  <c:pt idx="30">
                    <c:v>Alameda</c:v>
                  </c:pt>
                  <c:pt idx="40">
                    <c:v>Contra Costa</c:v>
                  </c:pt>
                  <c:pt idx="50">
                    <c:v>Solano</c:v>
                  </c:pt>
                  <c:pt idx="60">
                    <c:v>Napa</c:v>
                  </c:pt>
                  <c:pt idx="70">
                    <c:v>Sonoma</c:v>
                  </c:pt>
                  <c:pt idx="80">
                    <c:v>Marin</c:v>
                  </c:pt>
                  <c:pt idx="90">
                    <c:v>Bay Area</c:v>
                  </c:pt>
                </c:lvl>
              </c:multiLvlStrCache>
            </c:multiLvlStrRef>
          </c:cat>
          <c:val>
            <c:numRef>
              <c:f>'I.Forecast Mode Choice'!$D$8:$D$98</c:f>
              <c:numCache>
                <c:formatCode>0.0%</c:formatCode>
                <c:ptCount val="91"/>
                <c:pt idx="0">
                  <c:v>0.20775792236519786</c:v>
                </c:pt>
                <c:pt idx="1">
                  <c:v>2.8677290946405698E-2</c:v>
                </c:pt>
                <c:pt idx="2">
                  <c:v>6.7101274363530972E-2</c:v>
                </c:pt>
                <c:pt idx="3">
                  <c:v>0.16745621730513047</c:v>
                </c:pt>
                <c:pt idx="4">
                  <c:v>0.10987589899494067</c:v>
                </c:pt>
                <c:pt idx="5">
                  <c:v>0.12812254440682569</c:v>
                </c:pt>
                <c:pt idx="6">
                  <c:v>0.25097914713317587</c:v>
                </c:pt>
                <c:pt idx="7">
                  <c:v>0.11921843449340777</c:v>
                </c:pt>
                <c:pt idx="8">
                  <c:v>0.18146738011936611</c:v>
                </c:pt>
                <c:pt idx="9">
                  <c:v>0.18002292113914015</c:v>
                </c:pt>
                <c:pt idx="10">
                  <c:v>0.5470105674871496</c:v>
                </c:pt>
                <c:pt idx="11">
                  <c:v>0.2661617738913179</c:v>
                </c:pt>
                <c:pt idx="12">
                  <c:v>0.1073166161403227</c:v>
                </c:pt>
                <c:pt idx="13">
                  <c:v>0.37144767063179185</c:v>
                </c:pt>
                <c:pt idx="14">
                  <c:v>0.28401497979698431</c:v>
                </c:pt>
                <c:pt idx="15">
                  <c:v>0.21877620785776472</c:v>
                </c:pt>
                <c:pt idx="16">
                  <c:v>0.44370654768081352</c:v>
                </c:pt>
                <c:pt idx="17">
                  <c:v>0.27904313876971043</c:v>
                </c:pt>
                <c:pt idx="18">
                  <c:v>0.3347315951792969</c:v>
                </c:pt>
                <c:pt idx="19">
                  <c:v>0.38148019382455833</c:v>
                </c:pt>
                <c:pt idx="20">
                  <c:v>0.60113789468243806</c:v>
                </c:pt>
                <c:pt idx="21">
                  <c:v>0.27242276196871118</c:v>
                </c:pt>
                <c:pt idx="22">
                  <c:v>0.10013644012887732</c:v>
                </c:pt>
                <c:pt idx="23">
                  <c:v>0.4530165562913907</c:v>
                </c:pt>
                <c:pt idx="24">
                  <c:v>0.29727936988622944</c:v>
                </c:pt>
                <c:pt idx="25">
                  <c:v>0.2225125713670689</c:v>
                </c:pt>
                <c:pt idx="26">
                  <c:v>0.43869258642524056</c:v>
                </c:pt>
                <c:pt idx="27">
                  <c:v>0.29259769434865812</c:v>
                </c:pt>
                <c:pt idx="28">
                  <c:v>0.33603705688569591</c:v>
                </c:pt>
                <c:pt idx="29">
                  <c:v>0.3955695019936335</c:v>
                </c:pt>
                <c:pt idx="30">
                  <c:v>0.52887206087764804</c:v>
                </c:pt>
                <c:pt idx="31">
                  <c:v>0.1858619117181039</c:v>
                </c:pt>
                <c:pt idx="32">
                  <c:v>9.9709826050142308E-2</c:v>
                </c:pt>
                <c:pt idx="33">
                  <c:v>0.38421299188007496</c:v>
                </c:pt>
                <c:pt idx="34">
                  <c:v>0.26954693528637108</c:v>
                </c:pt>
                <c:pt idx="35">
                  <c:v>0.22056049921144996</c:v>
                </c:pt>
                <c:pt idx="36">
                  <c:v>0.41518285730264121</c:v>
                </c:pt>
                <c:pt idx="37">
                  <c:v>0.25437519097461458</c:v>
                </c:pt>
                <c:pt idx="38">
                  <c:v>0.31400672616765435</c:v>
                </c:pt>
                <c:pt idx="39">
                  <c:v>0.35574468411622751</c:v>
                </c:pt>
                <c:pt idx="40">
                  <c:v>0.62545655452522808</c:v>
                </c:pt>
                <c:pt idx="41">
                  <c:v>0.34311415720711075</c:v>
                </c:pt>
                <c:pt idx="42">
                  <c:v>0.11891348170140621</c:v>
                </c:pt>
                <c:pt idx="43">
                  <c:v>0.42055377594453464</c:v>
                </c:pt>
                <c:pt idx="44">
                  <c:v>0.29342777275688853</c:v>
                </c:pt>
                <c:pt idx="45">
                  <c:v>0.21365233476554471</c:v>
                </c:pt>
                <c:pt idx="46">
                  <c:v>0.44283703677721459</c:v>
                </c:pt>
                <c:pt idx="47">
                  <c:v>0.2809591950199149</c:v>
                </c:pt>
                <c:pt idx="48">
                  <c:v>0.33343020323103773</c:v>
                </c:pt>
                <c:pt idx="49">
                  <c:v>0.39695790664366454</c:v>
                </c:pt>
                <c:pt idx="50">
                  <c:v>0.70241723662094135</c:v>
                </c:pt>
                <c:pt idx="51">
                  <c:v>0.39608445918614998</c:v>
                </c:pt>
                <c:pt idx="52">
                  <c:v>0.1078298244163941</c:v>
                </c:pt>
                <c:pt idx="53">
                  <c:v>0.48586267671654104</c:v>
                </c:pt>
                <c:pt idx="54">
                  <c:v>0.27587284578980265</c:v>
                </c:pt>
                <c:pt idx="55">
                  <c:v>0.21311385609816219</c:v>
                </c:pt>
                <c:pt idx="56">
                  <c:v>0.43549579334999866</c:v>
                </c:pt>
                <c:pt idx="57">
                  <c:v>0.26744880777795882</c:v>
                </c:pt>
                <c:pt idx="58">
                  <c:v>0.30757506824385805</c:v>
                </c:pt>
                <c:pt idx="59">
                  <c:v>0.41215460956439509</c:v>
                </c:pt>
                <c:pt idx="60">
                  <c:v>0.71118127295305023</c:v>
                </c:pt>
                <c:pt idx="61">
                  <c:v>0.3729418221734358</c:v>
                </c:pt>
                <c:pt idx="62">
                  <c:v>0.11096239367902941</c:v>
                </c:pt>
                <c:pt idx="63">
                  <c:v>0.49740494870247437</c:v>
                </c:pt>
                <c:pt idx="64">
                  <c:v>0.34005316792202039</c:v>
                </c:pt>
                <c:pt idx="65">
                  <c:v>0.23960506896025244</c:v>
                </c:pt>
                <c:pt idx="66">
                  <c:v>0.46352767329392802</c:v>
                </c:pt>
                <c:pt idx="67">
                  <c:v>0.32414307004470938</c:v>
                </c:pt>
                <c:pt idx="68">
                  <c:v>0.36022299736485353</c:v>
                </c:pt>
                <c:pt idx="69">
                  <c:v>0.4505826610321424</c:v>
                </c:pt>
                <c:pt idx="70">
                  <c:v>0.73089981130113069</c:v>
                </c:pt>
                <c:pt idx="71">
                  <c:v>0.35552121716391299</c:v>
                </c:pt>
                <c:pt idx="72">
                  <c:v>0.11592959864648933</c:v>
                </c:pt>
                <c:pt idx="73">
                  <c:v>0.54407877228776724</c:v>
                </c:pt>
                <c:pt idx="74">
                  <c:v>0.35623084780388153</c:v>
                </c:pt>
                <c:pt idx="75">
                  <c:v>0.25137254359640993</c:v>
                </c:pt>
                <c:pt idx="76">
                  <c:v>0.4922027693306959</c:v>
                </c:pt>
                <c:pt idx="77">
                  <c:v>0.34406671258486665</c:v>
                </c:pt>
                <c:pt idx="78">
                  <c:v>0.38247962579758676</c:v>
                </c:pt>
                <c:pt idx="79">
                  <c:v>0.46812370369927614</c:v>
                </c:pt>
                <c:pt idx="80">
                  <c:v>0.60902914087271631</c:v>
                </c:pt>
                <c:pt idx="81">
                  <c:v>0.31244207599629287</c:v>
                </c:pt>
                <c:pt idx="82">
                  <c:v>0.11293785923435636</c:v>
                </c:pt>
                <c:pt idx="83">
                  <c:v>0.40549580461924395</c:v>
                </c:pt>
                <c:pt idx="84">
                  <c:v>0.3089847845181764</c:v>
                </c:pt>
                <c:pt idx="85">
                  <c:v>0.21935991120155399</c:v>
                </c:pt>
                <c:pt idx="86">
                  <c:v>0.4651463676530127</c:v>
                </c:pt>
                <c:pt idx="87">
                  <c:v>0.31235892765216011</c:v>
                </c:pt>
                <c:pt idx="88">
                  <c:v>0.36243470303384639</c:v>
                </c:pt>
                <c:pt idx="89">
                  <c:v>0.41439185466186274</c:v>
                </c:pt>
                <c:pt idx="90">
                  <c:v>0.36716930196827535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2-464B-955C-8D23F85E5747}"/>
            </c:ext>
          </c:extLst>
        </c:ser>
        <c:ser>
          <c:idx val="1"/>
          <c:order val="1"/>
          <c:tx>
            <c:strRef>
              <c:f>'I.Forecast Mode Choice'!$E$7</c:f>
              <c:strCache>
                <c:ptCount val="1"/>
                <c:pt idx="0">
                  <c:v>Shared Ride 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'I.Forecast Mode Choice'!$B$8:$C$98</c:f>
              <c:multiLvlStrCache>
                <c:ptCount val="91"/>
                <c:lvl>
                  <c:pt idx="0">
                    <c:v>Work</c:v>
                  </c:pt>
                  <c:pt idx="1">
                    <c:v>University</c:v>
                  </c:pt>
                  <c:pt idx="2">
                    <c:v>School</c:v>
                  </c:pt>
                  <c:pt idx="3">
                    <c:v>At-Work</c:v>
                  </c:pt>
                  <c:pt idx="4">
                    <c:v>Eat Out</c:v>
                  </c:pt>
                  <c:pt idx="5">
                    <c:v>Escort</c:v>
                  </c:pt>
                  <c:pt idx="6">
                    <c:v>Shopping</c:v>
                  </c:pt>
                  <c:pt idx="7">
                    <c:v>Social</c:v>
                  </c:pt>
                  <c:pt idx="8">
                    <c:v>Other</c:v>
                  </c:pt>
                  <c:pt idx="9">
                    <c:v>Total</c:v>
                  </c:pt>
                  <c:pt idx="10">
                    <c:v>Work</c:v>
                  </c:pt>
                  <c:pt idx="11">
                    <c:v>University</c:v>
                  </c:pt>
                  <c:pt idx="12">
                    <c:v>School</c:v>
                  </c:pt>
                  <c:pt idx="13">
                    <c:v>At-Work</c:v>
                  </c:pt>
                  <c:pt idx="14">
                    <c:v>Eat Out</c:v>
                  </c:pt>
                  <c:pt idx="15">
                    <c:v>Escort</c:v>
                  </c:pt>
                  <c:pt idx="16">
                    <c:v>Shopping</c:v>
                  </c:pt>
                  <c:pt idx="17">
                    <c:v>Social</c:v>
                  </c:pt>
                  <c:pt idx="18">
                    <c:v>Other</c:v>
                  </c:pt>
                  <c:pt idx="19">
                    <c:v>Total</c:v>
                  </c:pt>
                  <c:pt idx="20">
                    <c:v>Work</c:v>
                  </c:pt>
                  <c:pt idx="21">
                    <c:v>University</c:v>
                  </c:pt>
                  <c:pt idx="22">
                    <c:v>School</c:v>
                  </c:pt>
                  <c:pt idx="23">
                    <c:v>At-Work</c:v>
                  </c:pt>
                  <c:pt idx="24">
                    <c:v>Eat Out</c:v>
                  </c:pt>
                  <c:pt idx="25">
                    <c:v>Escort</c:v>
                  </c:pt>
                  <c:pt idx="26">
                    <c:v>Shopping</c:v>
                  </c:pt>
                  <c:pt idx="27">
                    <c:v>Social</c:v>
                  </c:pt>
                  <c:pt idx="28">
                    <c:v>Other</c:v>
                  </c:pt>
                  <c:pt idx="29">
                    <c:v>Total</c:v>
                  </c:pt>
                  <c:pt idx="30">
                    <c:v>Work</c:v>
                  </c:pt>
                  <c:pt idx="31">
                    <c:v>University</c:v>
                  </c:pt>
                  <c:pt idx="32">
                    <c:v>School</c:v>
                  </c:pt>
                  <c:pt idx="33">
                    <c:v>At-Work</c:v>
                  </c:pt>
                  <c:pt idx="34">
                    <c:v>Eat Out</c:v>
                  </c:pt>
                  <c:pt idx="35">
                    <c:v>Escort</c:v>
                  </c:pt>
                  <c:pt idx="36">
                    <c:v>Shopping</c:v>
                  </c:pt>
                  <c:pt idx="37">
                    <c:v>Social</c:v>
                  </c:pt>
                  <c:pt idx="38">
                    <c:v>Other</c:v>
                  </c:pt>
                  <c:pt idx="39">
                    <c:v>Total</c:v>
                  </c:pt>
                  <c:pt idx="40">
                    <c:v>Work</c:v>
                  </c:pt>
                  <c:pt idx="41">
                    <c:v>University</c:v>
                  </c:pt>
                  <c:pt idx="42">
                    <c:v>School</c:v>
                  </c:pt>
                  <c:pt idx="43">
                    <c:v>At-Work</c:v>
                  </c:pt>
                  <c:pt idx="44">
                    <c:v>Eat Out</c:v>
                  </c:pt>
                  <c:pt idx="45">
                    <c:v>Escort</c:v>
                  </c:pt>
                  <c:pt idx="46">
                    <c:v>Shopping</c:v>
                  </c:pt>
                  <c:pt idx="47">
                    <c:v>Social</c:v>
                  </c:pt>
                  <c:pt idx="48">
                    <c:v>Other</c:v>
                  </c:pt>
                  <c:pt idx="49">
                    <c:v>Total</c:v>
                  </c:pt>
                  <c:pt idx="50">
                    <c:v>Work</c:v>
                  </c:pt>
                  <c:pt idx="51">
                    <c:v>University</c:v>
                  </c:pt>
                  <c:pt idx="52">
                    <c:v>School</c:v>
                  </c:pt>
                  <c:pt idx="53">
                    <c:v>At-Work</c:v>
                  </c:pt>
                  <c:pt idx="54">
                    <c:v>Eat Out</c:v>
                  </c:pt>
                  <c:pt idx="55">
                    <c:v>Escort</c:v>
                  </c:pt>
                  <c:pt idx="56">
                    <c:v>Shopping</c:v>
                  </c:pt>
                  <c:pt idx="57">
                    <c:v>Social</c:v>
                  </c:pt>
                  <c:pt idx="58">
                    <c:v>Other</c:v>
                  </c:pt>
                  <c:pt idx="59">
                    <c:v>Total</c:v>
                  </c:pt>
                  <c:pt idx="60">
                    <c:v>Work</c:v>
                  </c:pt>
                  <c:pt idx="61">
                    <c:v>University</c:v>
                  </c:pt>
                  <c:pt idx="62">
                    <c:v>School</c:v>
                  </c:pt>
                  <c:pt idx="63">
                    <c:v>At-Work</c:v>
                  </c:pt>
                  <c:pt idx="64">
                    <c:v>Eat Out</c:v>
                  </c:pt>
                  <c:pt idx="65">
                    <c:v>Escort</c:v>
                  </c:pt>
                  <c:pt idx="66">
                    <c:v>Shopping</c:v>
                  </c:pt>
                  <c:pt idx="67">
                    <c:v>Social</c:v>
                  </c:pt>
                  <c:pt idx="68">
                    <c:v>Other</c:v>
                  </c:pt>
                  <c:pt idx="69">
                    <c:v>Total</c:v>
                  </c:pt>
                  <c:pt idx="70">
                    <c:v>Work</c:v>
                  </c:pt>
                  <c:pt idx="71">
                    <c:v>University</c:v>
                  </c:pt>
                  <c:pt idx="72">
                    <c:v>School</c:v>
                  </c:pt>
                  <c:pt idx="73">
                    <c:v>At-Work</c:v>
                  </c:pt>
                  <c:pt idx="74">
                    <c:v>Eat Out</c:v>
                  </c:pt>
                  <c:pt idx="75">
                    <c:v>Escort</c:v>
                  </c:pt>
                  <c:pt idx="76">
                    <c:v>Shopping</c:v>
                  </c:pt>
                  <c:pt idx="77">
                    <c:v>Social</c:v>
                  </c:pt>
                  <c:pt idx="78">
                    <c:v>Other</c:v>
                  </c:pt>
                  <c:pt idx="79">
                    <c:v>Total</c:v>
                  </c:pt>
                  <c:pt idx="80">
                    <c:v>Work</c:v>
                  </c:pt>
                  <c:pt idx="81">
                    <c:v>University</c:v>
                  </c:pt>
                  <c:pt idx="82">
                    <c:v>School</c:v>
                  </c:pt>
                  <c:pt idx="83">
                    <c:v>At-Work</c:v>
                  </c:pt>
                  <c:pt idx="84">
                    <c:v>Eat Out</c:v>
                  </c:pt>
                  <c:pt idx="85">
                    <c:v>Escort</c:v>
                  </c:pt>
                  <c:pt idx="86">
                    <c:v>Shopping</c:v>
                  </c:pt>
                  <c:pt idx="87">
                    <c:v>Social</c:v>
                  </c:pt>
                  <c:pt idx="88">
                    <c:v>Other</c:v>
                  </c:pt>
                  <c:pt idx="89">
                    <c:v>Total</c:v>
                  </c:pt>
                </c:lvl>
                <c:lvl>
                  <c:pt idx="0">
                    <c:v>San Francisco</c:v>
                  </c:pt>
                  <c:pt idx="10">
                    <c:v>San Mateo</c:v>
                  </c:pt>
                  <c:pt idx="20">
                    <c:v>Santa Clara</c:v>
                  </c:pt>
                  <c:pt idx="30">
                    <c:v>Alameda</c:v>
                  </c:pt>
                  <c:pt idx="40">
                    <c:v>Contra Costa</c:v>
                  </c:pt>
                  <c:pt idx="50">
                    <c:v>Solano</c:v>
                  </c:pt>
                  <c:pt idx="60">
                    <c:v>Napa</c:v>
                  </c:pt>
                  <c:pt idx="70">
                    <c:v>Sonoma</c:v>
                  </c:pt>
                  <c:pt idx="80">
                    <c:v>Marin</c:v>
                  </c:pt>
                  <c:pt idx="90">
                    <c:v>Bay Area</c:v>
                  </c:pt>
                </c:lvl>
              </c:multiLvlStrCache>
            </c:multiLvlStrRef>
          </c:cat>
          <c:val>
            <c:numRef>
              <c:f>'I.Forecast Mode Choice'!$E$8:$E$98</c:f>
              <c:numCache>
                <c:formatCode>0.0%</c:formatCode>
                <c:ptCount val="91"/>
                <c:pt idx="0">
                  <c:v>5.5094948888638785E-2</c:v>
                </c:pt>
                <c:pt idx="1">
                  <c:v>6.4847591630969273E-2</c:v>
                </c:pt>
                <c:pt idx="2">
                  <c:v>0.15366486424844863</c:v>
                </c:pt>
                <c:pt idx="3">
                  <c:v>0.10525392338434546</c:v>
                </c:pt>
                <c:pt idx="4">
                  <c:v>0.17632022748069667</c:v>
                </c:pt>
                <c:pt idx="5">
                  <c:v>0.17659898526401568</c:v>
                </c:pt>
                <c:pt idx="6">
                  <c:v>0.16033089238876294</c:v>
                </c:pt>
                <c:pt idx="7">
                  <c:v>0.15254780852832878</c:v>
                </c:pt>
                <c:pt idx="8">
                  <c:v>0.15740121424161349</c:v>
                </c:pt>
                <c:pt idx="9">
                  <c:v>0.11890432907838992</c:v>
                </c:pt>
                <c:pt idx="10">
                  <c:v>0.1018808134366703</c:v>
                </c:pt>
                <c:pt idx="11">
                  <c:v>0.22415677701436601</c:v>
                </c:pt>
                <c:pt idx="12">
                  <c:v>0.23653021207680006</c:v>
                </c:pt>
                <c:pt idx="13">
                  <c:v>0.11677693599808028</c:v>
                </c:pt>
                <c:pt idx="14">
                  <c:v>0.21808416280674092</c:v>
                </c:pt>
                <c:pt idx="15">
                  <c:v>0.29464620889609505</c:v>
                </c:pt>
                <c:pt idx="16">
                  <c:v>0.21161718778765978</c:v>
                </c:pt>
                <c:pt idx="17">
                  <c:v>0.21166554002786706</c:v>
                </c:pt>
                <c:pt idx="18">
                  <c:v>0.20663017377746926</c:v>
                </c:pt>
                <c:pt idx="19">
                  <c:v>0.18210490862866952</c:v>
                </c:pt>
                <c:pt idx="20">
                  <c:v>0.10763484002427018</c:v>
                </c:pt>
                <c:pt idx="21">
                  <c:v>0.21746277987450507</c:v>
                </c:pt>
                <c:pt idx="22">
                  <c:v>0.26443733373432432</c:v>
                </c:pt>
                <c:pt idx="23">
                  <c:v>0.13125165562913907</c:v>
                </c:pt>
                <c:pt idx="24">
                  <c:v>0.21753927792518093</c:v>
                </c:pt>
                <c:pt idx="25">
                  <c:v>0.30266395340396829</c:v>
                </c:pt>
                <c:pt idx="26">
                  <c:v>0.21552693077791321</c:v>
                </c:pt>
                <c:pt idx="27">
                  <c:v>0.2126995719660901</c:v>
                </c:pt>
                <c:pt idx="28">
                  <c:v>0.21091273364606916</c:v>
                </c:pt>
                <c:pt idx="29">
                  <c:v>0.19165418168544793</c:v>
                </c:pt>
                <c:pt idx="30">
                  <c:v>9.9517787900878285E-2</c:v>
                </c:pt>
                <c:pt idx="31">
                  <c:v>0.15986891429189756</c:v>
                </c:pt>
                <c:pt idx="32">
                  <c:v>0.25089076295044177</c:v>
                </c:pt>
                <c:pt idx="33">
                  <c:v>0.1161636109784326</c:v>
                </c:pt>
                <c:pt idx="34">
                  <c:v>0.21301203705842942</c:v>
                </c:pt>
                <c:pt idx="35">
                  <c:v>0.29658821881095992</c:v>
                </c:pt>
                <c:pt idx="36">
                  <c:v>0.21295240521588377</c:v>
                </c:pt>
                <c:pt idx="37">
                  <c:v>0.20259186253422565</c:v>
                </c:pt>
                <c:pt idx="38">
                  <c:v>0.20468033615886486</c:v>
                </c:pt>
                <c:pt idx="39">
                  <c:v>0.18354572996448618</c:v>
                </c:pt>
                <c:pt idx="40">
                  <c:v>0.10855619764368589</c:v>
                </c:pt>
                <c:pt idx="41">
                  <c:v>0.29029235382308843</c:v>
                </c:pt>
                <c:pt idx="42">
                  <c:v>0.24891603697439454</c:v>
                </c:pt>
                <c:pt idx="43">
                  <c:v>0.11439729694150687</c:v>
                </c:pt>
                <c:pt idx="44">
                  <c:v>0.21672726763207859</c:v>
                </c:pt>
                <c:pt idx="45">
                  <c:v>0.28733618470633143</c:v>
                </c:pt>
                <c:pt idx="46">
                  <c:v>0.2167588873884144</c:v>
                </c:pt>
                <c:pt idx="47">
                  <c:v>0.22365722723005552</c:v>
                </c:pt>
                <c:pt idx="48">
                  <c:v>0.21175207529953127</c:v>
                </c:pt>
                <c:pt idx="49">
                  <c:v>0.19212604923003493</c:v>
                </c:pt>
                <c:pt idx="50">
                  <c:v>0.11098740010575142</c:v>
                </c:pt>
                <c:pt idx="51">
                  <c:v>0.34867729148127174</c:v>
                </c:pt>
                <c:pt idx="52">
                  <c:v>0.25959687798887693</c:v>
                </c:pt>
                <c:pt idx="53">
                  <c:v>0.11375482806464919</c:v>
                </c:pt>
                <c:pt idx="54">
                  <c:v>0.22356906866684526</c:v>
                </c:pt>
                <c:pt idx="55">
                  <c:v>0.28040864397031035</c:v>
                </c:pt>
                <c:pt idx="56">
                  <c:v>0.22418218960836492</c:v>
                </c:pt>
                <c:pt idx="57">
                  <c:v>0.21894519580685459</c:v>
                </c:pt>
                <c:pt idx="58">
                  <c:v>0.21171064604185624</c:v>
                </c:pt>
                <c:pt idx="59">
                  <c:v>0.19489835664717625</c:v>
                </c:pt>
                <c:pt idx="60">
                  <c:v>0.10946128035086793</c:v>
                </c:pt>
                <c:pt idx="61">
                  <c:v>0.32272228320526891</c:v>
                </c:pt>
                <c:pt idx="62">
                  <c:v>0.27852856094296446</c:v>
                </c:pt>
                <c:pt idx="63">
                  <c:v>0.11213035606517803</c:v>
                </c:pt>
                <c:pt idx="64">
                  <c:v>0.20735489587948605</c:v>
                </c:pt>
                <c:pt idx="65">
                  <c:v>0.31075372792508527</c:v>
                </c:pt>
                <c:pt idx="66">
                  <c:v>0.22756582482536269</c:v>
                </c:pt>
                <c:pt idx="67">
                  <c:v>0.2364940387481371</c:v>
                </c:pt>
                <c:pt idx="68">
                  <c:v>0.21259386757246654</c:v>
                </c:pt>
                <c:pt idx="69">
                  <c:v>0.19517772533523589</c:v>
                </c:pt>
                <c:pt idx="70">
                  <c:v>0.10768465001560108</c:v>
                </c:pt>
                <c:pt idx="71">
                  <c:v>0.23951028170688221</c:v>
                </c:pt>
                <c:pt idx="72">
                  <c:v>0.29696165053106494</c:v>
                </c:pt>
                <c:pt idx="73">
                  <c:v>0.12003903131375854</c:v>
                </c:pt>
                <c:pt idx="74">
                  <c:v>0.23738901547890312</c:v>
                </c:pt>
                <c:pt idx="75">
                  <c:v>0.32484684211254167</c:v>
                </c:pt>
                <c:pt idx="76">
                  <c:v>0.23378111068465648</c:v>
                </c:pt>
                <c:pt idx="77">
                  <c:v>0.23984059824854867</c:v>
                </c:pt>
                <c:pt idx="78">
                  <c:v>0.2320334708754839</c:v>
                </c:pt>
                <c:pt idx="79">
                  <c:v>0.20559503814436481</c:v>
                </c:pt>
                <c:pt idx="80">
                  <c:v>0.11501132417333534</c:v>
                </c:pt>
                <c:pt idx="81">
                  <c:v>0.22984244670991658</c:v>
                </c:pt>
                <c:pt idx="82">
                  <c:v>0.24071141958572823</c:v>
                </c:pt>
                <c:pt idx="83">
                  <c:v>0.11631729188893054</c:v>
                </c:pt>
                <c:pt idx="84">
                  <c:v>0.21939194741166804</c:v>
                </c:pt>
                <c:pt idx="85">
                  <c:v>0.27596892054389049</c:v>
                </c:pt>
                <c:pt idx="86">
                  <c:v>0.2172191026069813</c:v>
                </c:pt>
                <c:pt idx="87">
                  <c:v>0.21458836573872411</c:v>
                </c:pt>
                <c:pt idx="88">
                  <c:v>0.22349038498201554</c:v>
                </c:pt>
                <c:pt idx="89">
                  <c:v>0.1923005467170775</c:v>
                </c:pt>
                <c:pt idx="90">
                  <c:v>0.18162063693126054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B2-464B-955C-8D23F85E5747}"/>
            </c:ext>
          </c:extLst>
        </c:ser>
        <c:ser>
          <c:idx val="2"/>
          <c:order val="2"/>
          <c:tx>
            <c:strRef>
              <c:f>'I.Forecast Mode Choice'!$F$7</c:f>
              <c:strCache>
                <c:ptCount val="1"/>
                <c:pt idx="0">
                  <c:v>Shared Ride 3+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'I.Forecast Mode Choice'!$B$8:$C$98</c:f>
              <c:multiLvlStrCache>
                <c:ptCount val="91"/>
                <c:lvl>
                  <c:pt idx="0">
                    <c:v>Work</c:v>
                  </c:pt>
                  <c:pt idx="1">
                    <c:v>University</c:v>
                  </c:pt>
                  <c:pt idx="2">
                    <c:v>School</c:v>
                  </c:pt>
                  <c:pt idx="3">
                    <c:v>At-Work</c:v>
                  </c:pt>
                  <c:pt idx="4">
                    <c:v>Eat Out</c:v>
                  </c:pt>
                  <c:pt idx="5">
                    <c:v>Escort</c:v>
                  </c:pt>
                  <c:pt idx="6">
                    <c:v>Shopping</c:v>
                  </c:pt>
                  <c:pt idx="7">
                    <c:v>Social</c:v>
                  </c:pt>
                  <c:pt idx="8">
                    <c:v>Other</c:v>
                  </c:pt>
                  <c:pt idx="9">
                    <c:v>Total</c:v>
                  </c:pt>
                  <c:pt idx="10">
                    <c:v>Work</c:v>
                  </c:pt>
                  <c:pt idx="11">
                    <c:v>University</c:v>
                  </c:pt>
                  <c:pt idx="12">
                    <c:v>School</c:v>
                  </c:pt>
                  <c:pt idx="13">
                    <c:v>At-Work</c:v>
                  </c:pt>
                  <c:pt idx="14">
                    <c:v>Eat Out</c:v>
                  </c:pt>
                  <c:pt idx="15">
                    <c:v>Escort</c:v>
                  </c:pt>
                  <c:pt idx="16">
                    <c:v>Shopping</c:v>
                  </c:pt>
                  <c:pt idx="17">
                    <c:v>Social</c:v>
                  </c:pt>
                  <c:pt idx="18">
                    <c:v>Other</c:v>
                  </c:pt>
                  <c:pt idx="19">
                    <c:v>Total</c:v>
                  </c:pt>
                  <c:pt idx="20">
                    <c:v>Work</c:v>
                  </c:pt>
                  <c:pt idx="21">
                    <c:v>University</c:v>
                  </c:pt>
                  <c:pt idx="22">
                    <c:v>School</c:v>
                  </c:pt>
                  <c:pt idx="23">
                    <c:v>At-Work</c:v>
                  </c:pt>
                  <c:pt idx="24">
                    <c:v>Eat Out</c:v>
                  </c:pt>
                  <c:pt idx="25">
                    <c:v>Escort</c:v>
                  </c:pt>
                  <c:pt idx="26">
                    <c:v>Shopping</c:v>
                  </c:pt>
                  <c:pt idx="27">
                    <c:v>Social</c:v>
                  </c:pt>
                  <c:pt idx="28">
                    <c:v>Other</c:v>
                  </c:pt>
                  <c:pt idx="29">
                    <c:v>Total</c:v>
                  </c:pt>
                  <c:pt idx="30">
                    <c:v>Work</c:v>
                  </c:pt>
                  <c:pt idx="31">
                    <c:v>University</c:v>
                  </c:pt>
                  <c:pt idx="32">
                    <c:v>School</c:v>
                  </c:pt>
                  <c:pt idx="33">
                    <c:v>At-Work</c:v>
                  </c:pt>
                  <c:pt idx="34">
                    <c:v>Eat Out</c:v>
                  </c:pt>
                  <c:pt idx="35">
                    <c:v>Escort</c:v>
                  </c:pt>
                  <c:pt idx="36">
                    <c:v>Shopping</c:v>
                  </c:pt>
                  <c:pt idx="37">
                    <c:v>Social</c:v>
                  </c:pt>
                  <c:pt idx="38">
                    <c:v>Other</c:v>
                  </c:pt>
                  <c:pt idx="39">
                    <c:v>Total</c:v>
                  </c:pt>
                  <c:pt idx="40">
                    <c:v>Work</c:v>
                  </c:pt>
                  <c:pt idx="41">
                    <c:v>University</c:v>
                  </c:pt>
                  <c:pt idx="42">
                    <c:v>School</c:v>
                  </c:pt>
                  <c:pt idx="43">
                    <c:v>At-Work</c:v>
                  </c:pt>
                  <c:pt idx="44">
                    <c:v>Eat Out</c:v>
                  </c:pt>
                  <c:pt idx="45">
                    <c:v>Escort</c:v>
                  </c:pt>
                  <c:pt idx="46">
                    <c:v>Shopping</c:v>
                  </c:pt>
                  <c:pt idx="47">
                    <c:v>Social</c:v>
                  </c:pt>
                  <c:pt idx="48">
                    <c:v>Other</c:v>
                  </c:pt>
                  <c:pt idx="49">
                    <c:v>Total</c:v>
                  </c:pt>
                  <c:pt idx="50">
                    <c:v>Work</c:v>
                  </c:pt>
                  <c:pt idx="51">
                    <c:v>University</c:v>
                  </c:pt>
                  <c:pt idx="52">
                    <c:v>School</c:v>
                  </c:pt>
                  <c:pt idx="53">
                    <c:v>At-Work</c:v>
                  </c:pt>
                  <c:pt idx="54">
                    <c:v>Eat Out</c:v>
                  </c:pt>
                  <c:pt idx="55">
                    <c:v>Escort</c:v>
                  </c:pt>
                  <c:pt idx="56">
                    <c:v>Shopping</c:v>
                  </c:pt>
                  <c:pt idx="57">
                    <c:v>Social</c:v>
                  </c:pt>
                  <c:pt idx="58">
                    <c:v>Other</c:v>
                  </c:pt>
                  <c:pt idx="59">
                    <c:v>Total</c:v>
                  </c:pt>
                  <c:pt idx="60">
                    <c:v>Work</c:v>
                  </c:pt>
                  <c:pt idx="61">
                    <c:v>University</c:v>
                  </c:pt>
                  <c:pt idx="62">
                    <c:v>School</c:v>
                  </c:pt>
                  <c:pt idx="63">
                    <c:v>At-Work</c:v>
                  </c:pt>
                  <c:pt idx="64">
                    <c:v>Eat Out</c:v>
                  </c:pt>
                  <c:pt idx="65">
                    <c:v>Escort</c:v>
                  </c:pt>
                  <c:pt idx="66">
                    <c:v>Shopping</c:v>
                  </c:pt>
                  <c:pt idx="67">
                    <c:v>Social</c:v>
                  </c:pt>
                  <c:pt idx="68">
                    <c:v>Other</c:v>
                  </c:pt>
                  <c:pt idx="69">
                    <c:v>Total</c:v>
                  </c:pt>
                  <c:pt idx="70">
                    <c:v>Work</c:v>
                  </c:pt>
                  <c:pt idx="71">
                    <c:v>University</c:v>
                  </c:pt>
                  <c:pt idx="72">
                    <c:v>School</c:v>
                  </c:pt>
                  <c:pt idx="73">
                    <c:v>At-Work</c:v>
                  </c:pt>
                  <c:pt idx="74">
                    <c:v>Eat Out</c:v>
                  </c:pt>
                  <c:pt idx="75">
                    <c:v>Escort</c:v>
                  </c:pt>
                  <c:pt idx="76">
                    <c:v>Shopping</c:v>
                  </c:pt>
                  <c:pt idx="77">
                    <c:v>Social</c:v>
                  </c:pt>
                  <c:pt idx="78">
                    <c:v>Other</c:v>
                  </c:pt>
                  <c:pt idx="79">
                    <c:v>Total</c:v>
                  </c:pt>
                  <c:pt idx="80">
                    <c:v>Work</c:v>
                  </c:pt>
                  <c:pt idx="81">
                    <c:v>University</c:v>
                  </c:pt>
                  <c:pt idx="82">
                    <c:v>School</c:v>
                  </c:pt>
                  <c:pt idx="83">
                    <c:v>At-Work</c:v>
                  </c:pt>
                  <c:pt idx="84">
                    <c:v>Eat Out</c:v>
                  </c:pt>
                  <c:pt idx="85">
                    <c:v>Escort</c:v>
                  </c:pt>
                  <c:pt idx="86">
                    <c:v>Shopping</c:v>
                  </c:pt>
                  <c:pt idx="87">
                    <c:v>Social</c:v>
                  </c:pt>
                  <c:pt idx="88">
                    <c:v>Other</c:v>
                  </c:pt>
                  <c:pt idx="89">
                    <c:v>Total</c:v>
                  </c:pt>
                </c:lvl>
                <c:lvl>
                  <c:pt idx="0">
                    <c:v>San Francisco</c:v>
                  </c:pt>
                  <c:pt idx="10">
                    <c:v>San Mateo</c:v>
                  </c:pt>
                  <c:pt idx="20">
                    <c:v>Santa Clara</c:v>
                  </c:pt>
                  <c:pt idx="30">
                    <c:v>Alameda</c:v>
                  </c:pt>
                  <c:pt idx="40">
                    <c:v>Contra Costa</c:v>
                  </c:pt>
                  <c:pt idx="50">
                    <c:v>Solano</c:v>
                  </c:pt>
                  <c:pt idx="60">
                    <c:v>Napa</c:v>
                  </c:pt>
                  <c:pt idx="70">
                    <c:v>Sonoma</c:v>
                  </c:pt>
                  <c:pt idx="80">
                    <c:v>Marin</c:v>
                  </c:pt>
                  <c:pt idx="90">
                    <c:v>Bay Area</c:v>
                  </c:pt>
                </c:lvl>
              </c:multiLvlStrCache>
            </c:multiLvlStrRef>
          </c:cat>
          <c:val>
            <c:numRef>
              <c:f>'I.Forecast Mode Choice'!$F$8:$F$98</c:f>
              <c:numCache>
                <c:formatCode>0.0%</c:formatCode>
                <c:ptCount val="91"/>
                <c:pt idx="0">
                  <c:v>2.0793299458248749E-2</c:v>
                </c:pt>
                <c:pt idx="1">
                  <c:v>9.1045577884602148E-3</c:v>
                </c:pt>
                <c:pt idx="2">
                  <c:v>0.21521633770158416</c:v>
                </c:pt>
                <c:pt idx="3">
                  <c:v>3.6780712870000322E-2</c:v>
                </c:pt>
                <c:pt idx="4">
                  <c:v>6.9068524022354819E-2</c:v>
                </c:pt>
                <c:pt idx="5">
                  <c:v>0.11267837913873556</c:v>
                </c:pt>
                <c:pt idx="6">
                  <c:v>7.6545568914155496E-2</c:v>
                </c:pt>
                <c:pt idx="7">
                  <c:v>8.8324028982064373E-2</c:v>
                </c:pt>
                <c:pt idx="8">
                  <c:v>9.1683388214310213E-2</c:v>
                </c:pt>
                <c:pt idx="9">
                  <c:v>6.4698870315285234E-2</c:v>
                </c:pt>
                <c:pt idx="10">
                  <c:v>3.9407798723461618E-2</c:v>
                </c:pt>
                <c:pt idx="11">
                  <c:v>3.4782948157401621E-2</c:v>
                </c:pt>
                <c:pt idx="12">
                  <c:v>0.33020806146144938</c:v>
                </c:pt>
                <c:pt idx="13">
                  <c:v>5.2192245723492507E-2</c:v>
                </c:pt>
                <c:pt idx="14">
                  <c:v>0.12438159061791662</c:v>
                </c:pt>
                <c:pt idx="15">
                  <c:v>0.17369669571329302</c:v>
                </c:pt>
                <c:pt idx="16">
                  <c:v>0.12512259537334267</c:v>
                </c:pt>
                <c:pt idx="17">
                  <c:v>0.1499027411811773</c:v>
                </c:pt>
                <c:pt idx="18">
                  <c:v>0.16582035028621503</c:v>
                </c:pt>
                <c:pt idx="19">
                  <c:v>0.12600877860107343</c:v>
                </c:pt>
                <c:pt idx="20">
                  <c:v>3.9331423154231035E-2</c:v>
                </c:pt>
                <c:pt idx="21">
                  <c:v>3.5055222394591218E-2</c:v>
                </c:pt>
                <c:pt idx="22">
                  <c:v>0.35833114041392</c:v>
                </c:pt>
                <c:pt idx="23">
                  <c:v>5.6033112582781458E-2</c:v>
                </c:pt>
                <c:pt idx="24">
                  <c:v>0.13678511397891285</c:v>
                </c:pt>
                <c:pt idx="25">
                  <c:v>0.18127298075936313</c:v>
                </c:pt>
                <c:pt idx="26">
                  <c:v>0.14247361281064957</c:v>
                </c:pt>
                <c:pt idx="27">
                  <c:v>0.16479305531159574</c:v>
                </c:pt>
                <c:pt idx="28">
                  <c:v>0.18422534179434766</c:v>
                </c:pt>
                <c:pt idx="29">
                  <c:v>0.13927123947269782</c:v>
                </c:pt>
                <c:pt idx="30">
                  <c:v>3.9344055174128804E-2</c:v>
                </c:pt>
                <c:pt idx="31">
                  <c:v>2.546741793617301E-2</c:v>
                </c:pt>
                <c:pt idx="32">
                  <c:v>0.34202207052555789</c:v>
                </c:pt>
                <c:pt idx="33">
                  <c:v>5.0473968475585114E-2</c:v>
                </c:pt>
                <c:pt idx="34">
                  <c:v>0.12197860591918305</c:v>
                </c:pt>
                <c:pt idx="35">
                  <c:v>0.17633703239342</c:v>
                </c:pt>
                <c:pt idx="36">
                  <c:v>0.1337696473344249</c:v>
                </c:pt>
                <c:pt idx="37">
                  <c:v>0.156883773598471</c:v>
                </c:pt>
                <c:pt idx="38">
                  <c:v>0.17075473410918862</c:v>
                </c:pt>
                <c:pt idx="39">
                  <c:v>0.13092004721535547</c:v>
                </c:pt>
                <c:pt idx="40">
                  <c:v>4.4726664576147171E-2</c:v>
                </c:pt>
                <c:pt idx="41">
                  <c:v>4.3558577853930178E-2</c:v>
                </c:pt>
                <c:pt idx="42">
                  <c:v>0.34266616372404674</c:v>
                </c:pt>
                <c:pt idx="43">
                  <c:v>5.2939074616199545E-2</c:v>
                </c:pt>
                <c:pt idx="44">
                  <c:v>0.13568310949508536</c:v>
                </c:pt>
                <c:pt idx="45">
                  <c:v>0.16891938183277383</c:v>
                </c:pt>
                <c:pt idx="46">
                  <c:v>0.13676362265209843</c:v>
                </c:pt>
                <c:pt idx="47">
                  <c:v>0.15791536407302423</c:v>
                </c:pt>
                <c:pt idx="48">
                  <c:v>0.16946610632700967</c:v>
                </c:pt>
                <c:pt idx="49">
                  <c:v>0.13777889789817585</c:v>
                </c:pt>
                <c:pt idx="50">
                  <c:v>4.3061460487230301E-2</c:v>
                </c:pt>
                <c:pt idx="51">
                  <c:v>6.0917401504732627E-2</c:v>
                </c:pt>
                <c:pt idx="52">
                  <c:v>0.35472139238862188</c:v>
                </c:pt>
                <c:pt idx="53">
                  <c:v>5.3136835789552632E-2</c:v>
                </c:pt>
                <c:pt idx="54">
                  <c:v>0.12777926600589337</c:v>
                </c:pt>
                <c:pt idx="55">
                  <c:v>0.17211251403686562</c:v>
                </c:pt>
                <c:pt idx="56">
                  <c:v>0.13336962072951106</c:v>
                </c:pt>
                <c:pt idx="57">
                  <c:v>0.16009450871761446</c:v>
                </c:pt>
                <c:pt idx="58">
                  <c:v>0.17639672429481346</c:v>
                </c:pt>
                <c:pt idx="59">
                  <c:v>0.13953106017388003</c:v>
                </c:pt>
                <c:pt idx="60">
                  <c:v>3.7979867367697956E-2</c:v>
                </c:pt>
                <c:pt idx="61">
                  <c:v>5.2414928649835345E-2</c:v>
                </c:pt>
                <c:pt idx="62">
                  <c:v>0.39100211562540477</c:v>
                </c:pt>
                <c:pt idx="63">
                  <c:v>5.0995775497887752E-2</c:v>
                </c:pt>
                <c:pt idx="64">
                  <c:v>0.12819376753802983</c:v>
                </c:pt>
                <c:pt idx="65">
                  <c:v>0.17695557025802841</c:v>
                </c:pt>
                <c:pt idx="66">
                  <c:v>0.1296569944474297</c:v>
                </c:pt>
                <c:pt idx="67">
                  <c:v>0.14213859910581222</c:v>
                </c:pt>
                <c:pt idx="68">
                  <c:v>0.15917503160652541</c:v>
                </c:pt>
                <c:pt idx="69">
                  <c:v>0.13152223624755319</c:v>
                </c:pt>
                <c:pt idx="70">
                  <c:v>3.536989435834955E-2</c:v>
                </c:pt>
                <c:pt idx="71">
                  <c:v>3.8868417924640436E-2</c:v>
                </c:pt>
                <c:pt idx="72">
                  <c:v>0.40054281417426452</c:v>
                </c:pt>
                <c:pt idx="73">
                  <c:v>5.1414885123747006E-2</c:v>
                </c:pt>
                <c:pt idx="74">
                  <c:v>0.11214347450302506</c:v>
                </c:pt>
                <c:pt idx="75">
                  <c:v>0.18585000898895052</c:v>
                </c:pt>
                <c:pt idx="76">
                  <c:v>0.11619969885742966</c:v>
                </c:pt>
                <c:pt idx="77">
                  <c:v>0.14119846502017122</c:v>
                </c:pt>
                <c:pt idx="78">
                  <c:v>0.15218634424482777</c:v>
                </c:pt>
                <c:pt idx="79">
                  <c:v>0.12823539725328695</c:v>
                </c:pt>
                <c:pt idx="80">
                  <c:v>5.2815944436056167E-2</c:v>
                </c:pt>
                <c:pt idx="81">
                  <c:v>3.8577386468952736E-2</c:v>
                </c:pt>
                <c:pt idx="82">
                  <c:v>0.33601561652749162</c:v>
                </c:pt>
                <c:pt idx="83">
                  <c:v>5.317032380842536E-2</c:v>
                </c:pt>
                <c:pt idx="84">
                  <c:v>0.12169552035814467</c:v>
                </c:pt>
                <c:pt idx="85">
                  <c:v>0.16973452964573119</c:v>
                </c:pt>
                <c:pt idx="86">
                  <c:v>0.11925047087609357</c:v>
                </c:pt>
                <c:pt idx="87">
                  <c:v>0.1450916722765612</c:v>
                </c:pt>
                <c:pt idx="88">
                  <c:v>0.14777132398734097</c:v>
                </c:pt>
                <c:pt idx="89">
                  <c:v>0.12467467713839739</c:v>
                </c:pt>
                <c:pt idx="90">
                  <c:v>0.12616783128729736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B2-464B-955C-8D23F85E5747}"/>
            </c:ext>
          </c:extLst>
        </c:ser>
        <c:ser>
          <c:idx val="3"/>
          <c:order val="3"/>
          <c:tx>
            <c:strRef>
              <c:f>'I.Forecast Mode Choice'!$G$7</c:f>
              <c:strCache>
                <c:ptCount val="1"/>
                <c:pt idx="0">
                  <c:v>Taxi &amp; Ride-Hailing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'I.Forecast Mode Choice'!$B$8:$C$98</c:f>
              <c:multiLvlStrCache>
                <c:ptCount val="91"/>
                <c:lvl>
                  <c:pt idx="0">
                    <c:v>Work</c:v>
                  </c:pt>
                  <c:pt idx="1">
                    <c:v>University</c:v>
                  </c:pt>
                  <c:pt idx="2">
                    <c:v>School</c:v>
                  </c:pt>
                  <c:pt idx="3">
                    <c:v>At-Work</c:v>
                  </c:pt>
                  <c:pt idx="4">
                    <c:v>Eat Out</c:v>
                  </c:pt>
                  <c:pt idx="5">
                    <c:v>Escort</c:v>
                  </c:pt>
                  <c:pt idx="6">
                    <c:v>Shopping</c:v>
                  </c:pt>
                  <c:pt idx="7">
                    <c:v>Social</c:v>
                  </c:pt>
                  <c:pt idx="8">
                    <c:v>Other</c:v>
                  </c:pt>
                  <c:pt idx="9">
                    <c:v>Total</c:v>
                  </c:pt>
                  <c:pt idx="10">
                    <c:v>Work</c:v>
                  </c:pt>
                  <c:pt idx="11">
                    <c:v>University</c:v>
                  </c:pt>
                  <c:pt idx="12">
                    <c:v>School</c:v>
                  </c:pt>
                  <c:pt idx="13">
                    <c:v>At-Work</c:v>
                  </c:pt>
                  <c:pt idx="14">
                    <c:v>Eat Out</c:v>
                  </c:pt>
                  <c:pt idx="15">
                    <c:v>Escort</c:v>
                  </c:pt>
                  <c:pt idx="16">
                    <c:v>Shopping</c:v>
                  </c:pt>
                  <c:pt idx="17">
                    <c:v>Social</c:v>
                  </c:pt>
                  <c:pt idx="18">
                    <c:v>Other</c:v>
                  </c:pt>
                  <c:pt idx="19">
                    <c:v>Total</c:v>
                  </c:pt>
                  <c:pt idx="20">
                    <c:v>Work</c:v>
                  </c:pt>
                  <c:pt idx="21">
                    <c:v>University</c:v>
                  </c:pt>
                  <c:pt idx="22">
                    <c:v>School</c:v>
                  </c:pt>
                  <c:pt idx="23">
                    <c:v>At-Work</c:v>
                  </c:pt>
                  <c:pt idx="24">
                    <c:v>Eat Out</c:v>
                  </c:pt>
                  <c:pt idx="25">
                    <c:v>Escort</c:v>
                  </c:pt>
                  <c:pt idx="26">
                    <c:v>Shopping</c:v>
                  </c:pt>
                  <c:pt idx="27">
                    <c:v>Social</c:v>
                  </c:pt>
                  <c:pt idx="28">
                    <c:v>Other</c:v>
                  </c:pt>
                  <c:pt idx="29">
                    <c:v>Total</c:v>
                  </c:pt>
                  <c:pt idx="30">
                    <c:v>Work</c:v>
                  </c:pt>
                  <c:pt idx="31">
                    <c:v>University</c:v>
                  </c:pt>
                  <c:pt idx="32">
                    <c:v>School</c:v>
                  </c:pt>
                  <c:pt idx="33">
                    <c:v>At-Work</c:v>
                  </c:pt>
                  <c:pt idx="34">
                    <c:v>Eat Out</c:v>
                  </c:pt>
                  <c:pt idx="35">
                    <c:v>Escort</c:v>
                  </c:pt>
                  <c:pt idx="36">
                    <c:v>Shopping</c:v>
                  </c:pt>
                  <c:pt idx="37">
                    <c:v>Social</c:v>
                  </c:pt>
                  <c:pt idx="38">
                    <c:v>Other</c:v>
                  </c:pt>
                  <c:pt idx="39">
                    <c:v>Total</c:v>
                  </c:pt>
                  <c:pt idx="40">
                    <c:v>Work</c:v>
                  </c:pt>
                  <c:pt idx="41">
                    <c:v>University</c:v>
                  </c:pt>
                  <c:pt idx="42">
                    <c:v>School</c:v>
                  </c:pt>
                  <c:pt idx="43">
                    <c:v>At-Work</c:v>
                  </c:pt>
                  <c:pt idx="44">
                    <c:v>Eat Out</c:v>
                  </c:pt>
                  <c:pt idx="45">
                    <c:v>Escort</c:v>
                  </c:pt>
                  <c:pt idx="46">
                    <c:v>Shopping</c:v>
                  </c:pt>
                  <c:pt idx="47">
                    <c:v>Social</c:v>
                  </c:pt>
                  <c:pt idx="48">
                    <c:v>Other</c:v>
                  </c:pt>
                  <c:pt idx="49">
                    <c:v>Total</c:v>
                  </c:pt>
                  <c:pt idx="50">
                    <c:v>Work</c:v>
                  </c:pt>
                  <c:pt idx="51">
                    <c:v>University</c:v>
                  </c:pt>
                  <c:pt idx="52">
                    <c:v>School</c:v>
                  </c:pt>
                  <c:pt idx="53">
                    <c:v>At-Work</c:v>
                  </c:pt>
                  <c:pt idx="54">
                    <c:v>Eat Out</c:v>
                  </c:pt>
                  <c:pt idx="55">
                    <c:v>Escort</c:v>
                  </c:pt>
                  <c:pt idx="56">
                    <c:v>Shopping</c:v>
                  </c:pt>
                  <c:pt idx="57">
                    <c:v>Social</c:v>
                  </c:pt>
                  <c:pt idx="58">
                    <c:v>Other</c:v>
                  </c:pt>
                  <c:pt idx="59">
                    <c:v>Total</c:v>
                  </c:pt>
                  <c:pt idx="60">
                    <c:v>Work</c:v>
                  </c:pt>
                  <c:pt idx="61">
                    <c:v>University</c:v>
                  </c:pt>
                  <c:pt idx="62">
                    <c:v>School</c:v>
                  </c:pt>
                  <c:pt idx="63">
                    <c:v>At-Work</c:v>
                  </c:pt>
                  <c:pt idx="64">
                    <c:v>Eat Out</c:v>
                  </c:pt>
                  <c:pt idx="65">
                    <c:v>Escort</c:v>
                  </c:pt>
                  <c:pt idx="66">
                    <c:v>Shopping</c:v>
                  </c:pt>
                  <c:pt idx="67">
                    <c:v>Social</c:v>
                  </c:pt>
                  <c:pt idx="68">
                    <c:v>Other</c:v>
                  </c:pt>
                  <c:pt idx="69">
                    <c:v>Total</c:v>
                  </c:pt>
                  <c:pt idx="70">
                    <c:v>Work</c:v>
                  </c:pt>
                  <c:pt idx="71">
                    <c:v>University</c:v>
                  </c:pt>
                  <c:pt idx="72">
                    <c:v>School</c:v>
                  </c:pt>
                  <c:pt idx="73">
                    <c:v>At-Work</c:v>
                  </c:pt>
                  <c:pt idx="74">
                    <c:v>Eat Out</c:v>
                  </c:pt>
                  <c:pt idx="75">
                    <c:v>Escort</c:v>
                  </c:pt>
                  <c:pt idx="76">
                    <c:v>Shopping</c:v>
                  </c:pt>
                  <c:pt idx="77">
                    <c:v>Social</c:v>
                  </c:pt>
                  <c:pt idx="78">
                    <c:v>Other</c:v>
                  </c:pt>
                  <c:pt idx="79">
                    <c:v>Total</c:v>
                  </c:pt>
                  <c:pt idx="80">
                    <c:v>Work</c:v>
                  </c:pt>
                  <c:pt idx="81">
                    <c:v>University</c:v>
                  </c:pt>
                  <c:pt idx="82">
                    <c:v>School</c:v>
                  </c:pt>
                  <c:pt idx="83">
                    <c:v>At-Work</c:v>
                  </c:pt>
                  <c:pt idx="84">
                    <c:v>Eat Out</c:v>
                  </c:pt>
                  <c:pt idx="85">
                    <c:v>Escort</c:v>
                  </c:pt>
                  <c:pt idx="86">
                    <c:v>Shopping</c:v>
                  </c:pt>
                  <c:pt idx="87">
                    <c:v>Social</c:v>
                  </c:pt>
                  <c:pt idx="88">
                    <c:v>Other</c:v>
                  </c:pt>
                  <c:pt idx="89">
                    <c:v>Total</c:v>
                  </c:pt>
                </c:lvl>
                <c:lvl>
                  <c:pt idx="0">
                    <c:v>San Francisco</c:v>
                  </c:pt>
                  <c:pt idx="10">
                    <c:v>San Mateo</c:v>
                  </c:pt>
                  <c:pt idx="20">
                    <c:v>Santa Clara</c:v>
                  </c:pt>
                  <c:pt idx="30">
                    <c:v>Alameda</c:v>
                  </c:pt>
                  <c:pt idx="40">
                    <c:v>Contra Costa</c:v>
                  </c:pt>
                  <c:pt idx="50">
                    <c:v>Solano</c:v>
                  </c:pt>
                  <c:pt idx="60">
                    <c:v>Napa</c:v>
                  </c:pt>
                  <c:pt idx="70">
                    <c:v>Sonoma</c:v>
                  </c:pt>
                  <c:pt idx="80">
                    <c:v>Marin</c:v>
                  </c:pt>
                  <c:pt idx="90">
                    <c:v>Bay Area</c:v>
                  </c:pt>
                </c:lvl>
              </c:multiLvlStrCache>
            </c:multiLvlStrRef>
          </c:cat>
          <c:val>
            <c:numRef>
              <c:f>'I.Forecast Mode Choice'!$G$8:$G$98</c:f>
              <c:numCache>
                <c:formatCode>0.0%</c:formatCode>
                <c:ptCount val="91"/>
                <c:pt idx="0">
                  <c:v>3.1574135441980927E-2</c:v>
                </c:pt>
                <c:pt idx="1">
                  <c:v>3.6969187752234817E-2</c:v>
                </c:pt>
                <c:pt idx="2">
                  <c:v>9.0469357306445942E-3</c:v>
                </c:pt>
                <c:pt idx="3">
                  <c:v>2.9281606394385418E-2</c:v>
                </c:pt>
                <c:pt idx="4">
                  <c:v>6.215637785390718E-2</c:v>
                </c:pt>
                <c:pt idx="5">
                  <c:v>5.2036747800273571E-2</c:v>
                </c:pt>
                <c:pt idx="6">
                  <c:v>6.5617693485407746E-2</c:v>
                </c:pt>
                <c:pt idx="7">
                  <c:v>6.4782040622401713E-2</c:v>
                </c:pt>
                <c:pt idx="8">
                  <c:v>7.5665003087054955E-2</c:v>
                </c:pt>
                <c:pt idx="9">
                  <c:v>4.9352652579180027E-2</c:v>
                </c:pt>
                <c:pt idx="10">
                  <c:v>1.3957132223509484E-2</c:v>
                </c:pt>
                <c:pt idx="11">
                  <c:v>9.4979700187382887E-2</c:v>
                </c:pt>
                <c:pt idx="12">
                  <c:v>9.7505805510383001E-3</c:v>
                </c:pt>
                <c:pt idx="13">
                  <c:v>1.1715402283089369E-2</c:v>
                </c:pt>
                <c:pt idx="14">
                  <c:v>5.9002660884990635E-2</c:v>
                </c:pt>
                <c:pt idx="15">
                  <c:v>3.4296850664132073E-2</c:v>
                </c:pt>
                <c:pt idx="16">
                  <c:v>5.9508547366166023E-2</c:v>
                </c:pt>
                <c:pt idx="17">
                  <c:v>7.4054658076620636E-2</c:v>
                </c:pt>
                <c:pt idx="18">
                  <c:v>8.3278897474707236E-2</c:v>
                </c:pt>
                <c:pt idx="19">
                  <c:v>4.4771408704721759E-2</c:v>
                </c:pt>
                <c:pt idx="20">
                  <c:v>1.6501313690631698E-2</c:v>
                </c:pt>
                <c:pt idx="21">
                  <c:v>8.624109534063458E-2</c:v>
                </c:pt>
                <c:pt idx="22">
                  <c:v>1.0930689741338706E-2</c:v>
                </c:pt>
                <c:pt idx="23">
                  <c:v>1.180794701986755E-2</c:v>
                </c:pt>
                <c:pt idx="24">
                  <c:v>6.7519135399447122E-2</c:v>
                </c:pt>
                <c:pt idx="25">
                  <c:v>3.5980766872163776E-2</c:v>
                </c:pt>
                <c:pt idx="26">
                  <c:v>6.7169980618337927E-2</c:v>
                </c:pt>
                <c:pt idx="27">
                  <c:v>8.3841026541800326E-2</c:v>
                </c:pt>
                <c:pt idx="28">
                  <c:v>9.5341690827911149E-2</c:v>
                </c:pt>
                <c:pt idx="29">
                  <c:v>5.1198614818228863E-2</c:v>
                </c:pt>
                <c:pt idx="30">
                  <c:v>1.5791969950234588E-2</c:v>
                </c:pt>
                <c:pt idx="31">
                  <c:v>6.4128426894211665E-2</c:v>
                </c:pt>
                <c:pt idx="32">
                  <c:v>9.6353820623673123E-3</c:v>
                </c:pt>
                <c:pt idx="33">
                  <c:v>1.3227027225631039E-2</c:v>
                </c:pt>
                <c:pt idx="34">
                  <c:v>6.2620428343691525E-2</c:v>
                </c:pt>
                <c:pt idx="35">
                  <c:v>3.28532578432887E-2</c:v>
                </c:pt>
                <c:pt idx="36">
                  <c:v>6.1016643727300125E-2</c:v>
                </c:pt>
                <c:pt idx="37">
                  <c:v>7.8528761525879676E-2</c:v>
                </c:pt>
                <c:pt idx="38">
                  <c:v>8.542916431265038E-2</c:v>
                </c:pt>
                <c:pt idx="39">
                  <c:v>4.7347589165022269E-2</c:v>
                </c:pt>
                <c:pt idx="40">
                  <c:v>7.8125699950723475E-3</c:v>
                </c:pt>
                <c:pt idx="41">
                  <c:v>7.0812807881773396E-2</c:v>
                </c:pt>
                <c:pt idx="42">
                  <c:v>7.9456821970480505E-3</c:v>
                </c:pt>
                <c:pt idx="43">
                  <c:v>9.3027337750669174E-3</c:v>
                </c:pt>
                <c:pt idx="44">
                  <c:v>5.4779069197194843E-2</c:v>
                </c:pt>
                <c:pt idx="45">
                  <c:v>2.7135348869075E-2</c:v>
                </c:pt>
                <c:pt idx="46">
                  <c:v>5.7018274610217648E-2</c:v>
                </c:pt>
                <c:pt idx="47">
                  <c:v>7.0800331762625665E-2</c:v>
                </c:pt>
                <c:pt idx="48">
                  <c:v>8.1262300092904763E-2</c:v>
                </c:pt>
                <c:pt idx="49">
                  <c:v>4.1792262024907559E-2</c:v>
                </c:pt>
                <c:pt idx="50">
                  <c:v>6.9168303807480838E-3</c:v>
                </c:pt>
                <c:pt idx="51">
                  <c:v>5.6548822910767738E-2</c:v>
                </c:pt>
                <c:pt idx="52">
                  <c:v>8.584349797494362E-3</c:v>
                </c:pt>
                <c:pt idx="53">
                  <c:v>7.9686503918701013E-3</c:v>
                </c:pt>
                <c:pt idx="54">
                  <c:v>5.5071881417983748E-2</c:v>
                </c:pt>
                <c:pt idx="55">
                  <c:v>2.7772452137711921E-2</c:v>
                </c:pt>
                <c:pt idx="56">
                  <c:v>6.1023304572211917E-2</c:v>
                </c:pt>
                <c:pt idx="57">
                  <c:v>8.5791103144859049E-2</c:v>
                </c:pt>
                <c:pt idx="58">
                  <c:v>9.7625113739763417E-2</c:v>
                </c:pt>
                <c:pt idx="59">
                  <c:v>4.5961576020930046E-2</c:v>
                </c:pt>
                <c:pt idx="60">
                  <c:v>6.97508520700679E-3</c:v>
                </c:pt>
                <c:pt idx="61">
                  <c:v>0.11745334796926454</c:v>
                </c:pt>
                <c:pt idx="62">
                  <c:v>9.2396701351409698E-3</c:v>
                </c:pt>
                <c:pt idx="63">
                  <c:v>6.4574532287266142E-3</c:v>
                </c:pt>
                <c:pt idx="64">
                  <c:v>4.5045045045045043E-2</c:v>
                </c:pt>
                <c:pt idx="65">
                  <c:v>2.9518041630617334E-2</c:v>
                </c:pt>
                <c:pt idx="66">
                  <c:v>5.033136306645173E-2</c:v>
                </c:pt>
                <c:pt idx="67">
                  <c:v>5.7656482861400897E-2</c:v>
                </c:pt>
                <c:pt idx="68">
                  <c:v>9.5520251024356059E-2</c:v>
                </c:pt>
                <c:pt idx="69">
                  <c:v>4.2460165011067814E-2</c:v>
                </c:pt>
                <c:pt idx="70">
                  <c:v>9.6355288768702734E-3</c:v>
                </c:pt>
                <c:pt idx="71">
                  <c:v>9.3902294068703193E-2</c:v>
                </c:pt>
                <c:pt idx="72">
                  <c:v>7.7074913055738322E-3</c:v>
                </c:pt>
                <c:pt idx="73">
                  <c:v>7.9127117892309057E-3</c:v>
                </c:pt>
                <c:pt idx="74">
                  <c:v>4.7870668657185513E-2</c:v>
                </c:pt>
                <c:pt idx="75">
                  <c:v>2.8460400215734812E-2</c:v>
                </c:pt>
                <c:pt idx="76">
                  <c:v>4.6765669746981195E-2</c:v>
                </c:pt>
                <c:pt idx="77">
                  <c:v>6.6146807045163833E-2</c:v>
                </c:pt>
                <c:pt idx="78">
                  <c:v>7.3178457854918402E-2</c:v>
                </c:pt>
                <c:pt idx="79">
                  <c:v>3.8022828839490826E-2</c:v>
                </c:pt>
                <c:pt idx="80">
                  <c:v>6.6978710554129548E-3</c:v>
                </c:pt>
                <c:pt idx="81">
                  <c:v>6.4990732159406858E-2</c:v>
                </c:pt>
                <c:pt idx="82">
                  <c:v>7.5046090445721721E-3</c:v>
                </c:pt>
                <c:pt idx="83">
                  <c:v>9.4576280960756605E-3</c:v>
                </c:pt>
                <c:pt idx="84">
                  <c:v>4.9471566599608989E-2</c:v>
                </c:pt>
                <c:pt idx="85">
                  <c:v>2.3656461011932292E-2</c:v>
                </c:pt>
                <c:pt idx="86">
                  <c:v>4.4200742840042953E-2</c:v>
                </c:pt>
                <c:pt idx="87">
                  <c:v>6.0388864689343839E-2</c:v>
                </c:pt>
                <c:pt idx="88">
                  <c:v>5.7035549511305433E-2</c:v>
                </c:pt>
                <c:pt idx="89">
                  <c:v>3.2766502741524935E-2</c:v>
                </c:pt>
                <c:pt idx="90">
                  <c:v>4.6490094169826725E-2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B2-464B-955C-8D23F85E5747}"/>
            </c:ext>
          </c:extLst>
        </c:ser>
        <c:ser>
          <c:idx val="5"/>
          <c:order val="4"/>
          <c:tx>
            <c:strRef>
              <c:f>'I.Forecast Mode Choice'!$I$7</c:f>
              <c:strCache>
                <c:ptCount val="1"/>
                <c:pt idx="0">
                  <c:v>Transit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'I.Forecast Mode Choice'!$B$8:$C$98</c:f>
              <c:multiLvlStrCache>
                <c:ptCount val="91"/>
                <c:lvl>
                  <c:pt idx="0">
                    <c:v>Work</c:v>
                  </c:pt>
                  <c:pt idx="1">
                    <c:v>University</c:v>
                  </c:pt>
                  <c:pt idx="2">
                    <c:v>School</c:v>
                  </c:pt>
                  <c:pt idx="3">
                    <c:v>At-Work</c:v>
                  </c:pt>
                  <c:pt idx="4">
                    <c:v>Eat Out</c:v>
                  </c:pt>
                  <c:pt idx="5">
                    <c:v>Escort</c:v>
                  </c:pt>
                  <c:pt idx="6">
                    <c:v>Shopping</c:v>
                  </c:pt>
                  <c:pt idx="7">
                    <c:v>Social</c:v>
                  </c:pt>
                  <c:pt idx="8">
                    <c:v>Other</c:v>
                  </c:pt>
                  <c:pt idx="9">
                    <c:v>Total</c:v>
                  </c:pt>
                  <c:pt idx="10">
                    <c:v>Work</c:v>
                  </c:pt>
                  <c:pt idx="11">
                    <c:v>University</c:v>
                  </c:pt>
                  <c:pt idx="12">
                    <c:v>School</c:v>
                  </c:pt>
                  <c:pt idx="13">
                    <c:v>At-Work</c:v>
                  </c:pt>
                  <c:pt idx="14">
                    <c:v>Eat Out</c:v>
                  </c:pt>
                  <c:pt idx="15">
                    <c:v>Escort</c:v>
                  </c:pt>
                  <c:pt idx="16">
                    <c:v>Shopping</c:v>
                  </c:pt>
                  <c:pt idx="17">
                    <c:v>Social</c:v>
                  </c:pt>
                  <c:pt idx="18">
                    <c:v>Other</c:v>
                  </c:pt>
                  <c:pt idx="19">
                    <c:v>Total</c:v>
                  </c:pt>
                  <c:pt idx="20">
                    <c:v>Work</c:v>
                  </c:pt>
                  <c:pt idx="21">
                    <c:v>University</c:v>
                  </c:pt>
                  <c:pt idx="22">
                    <c:v>School</c:v>
                  </c:pt>
                  <c:pt idx="23">
                    <c:v>At-Work</c:v>
                  </c:pt>
                  <c:pt idx="24">
                    <c:v>Eat Out</c:v>
                  </c:pt>
                  <c:pt idx="25">
                    <c:v>Escort</c:v>
                  </c:pt>
                  <c:pt idx="26">
                    <c:v>Shopping</c:v>
                  </c:pt>
                  <c:pt idx="27">
                    <c:v>Social</c:v>
                  </c:pt>
                  <c:pt idx="28">
                    <c:v>Other</c:v>
                  </c:pt>
                  <c:pt idx="29">
                    <c:v>Total</c:v>
                  </c:pt>
                  <c:pt idx="30">
                    <c:v>Work</c:v>
                  </c:pt>
                  <c:pt idx="31">
                    <c:v>University</c:v>
                  </c:pt>
                  <c:pt idx="32">
                    <c:v>School</c:v>
                  </c:pt>
                  <c:pt idx="33">
                    <c:v>At-Work</c:v>
                  </c:pt>
                  <c:pt idx="34">
                    <c:v>Eat Out</c:v>
                  </c:pt>
                  <c:pt idx="35">
                    <c:v>Escort</c:v>
                  </c:pt>
                  <c:pt idx="36">
                    <c:v>Shopping</c:v>
                  </c:pt>
                  <c:pt idx="37">
                    <c:v>Social</c:v>
                  </c:pt>
                  <c:pt idx="38">
                    <c:v>Other</c:v>
                  </c:pt>
                  <c:pt idx="39">
                    <c:v>Total</c:v>
                  </c:pt>
                  <c:pt idx="40">
                    <c:v>Work</c:v>
                  </c:pt>
                  <c:pt idx="41">
                    <c:v>University</c:v>
                  </c:pt>
                  <c:pt idx="42">
                    <c:v>School</c:v>
                  </c:pt>
                  <c:pt idx="43">
                    <c:v>At-Work</c:v>
                  </c:pt>
                  <c:pt idx="44">
                    <c:v>Eat Out</c:v>
                  </c:pt>
                  <c:pt idx="45">
                    <c:v>Escort</c:v>
                  </c:pt>
                  <c:pt idx="46">
                    <c:v>Shopping</c:v>
                  </c:pt>
                  <c:pt idx="47">
                    <c:v>Social</c:v>
                  </c:pt>
                  <c:pt idx="48">
                    <c:v>Other</c:v>
                  </c:pt>
                  <c:pt idx="49">
                    <c:v>Total</c:v>
                  </c:pt>
                  <c:pt idx="50">
                    <c:v>Work</c:v>
                  </c:pt>
                  <c:pt idx="51">
                    <c:v>University</c:v>
                  </c:pt>
                  <c:pt idx="52">
                    <c:v>School</c:v>
                  </c:pt>
                  <c:pt idx="53">
                    <c:v>At-Work</c:v>
                  </c:pt>
                  <c:pt idx="54">
                    <c:v>Eat Out</c:v>
                  </c:pt>
                  <c:pt idx="55">
                    <c:v>Escort</c:v>
                  </c:pt>
                  <c:pt idx="56">
                    <c:v>Shopping</c:v>
                  </c:pt>
                  <c:pt idx="57">
                    <c:v>Social</c:v>
                  </c:pt>
                  <c:pt idx="58">
                    <c:v>Other</c:v>
                  </c:pt>
                  <c:pt idx="59">
                    <c:v>Total</c:v>
                  </c:pt>
                  <c:pt idx="60">
                    <c:v>Work</c:v>
                  </c:pt>
                  <c:pt idx="61">
                    <c:v>University</c:v>
                  </c:pt>
                  <c:pt idx="62">
                    <c:v>School</c:v>
                  </c:pt>
                  <c:pt idx="63">
                    <c:v>At-Work</c:v>
                  </c:pt>
                  <c:pt idx="64">
                    <c:v>Eat Out</c:v>
                  </c:pt>
                  <c:pt idx="65">
                    <c:v>Escort</c:v>
                  </c:pt>
                  <c:pt idx="66">
                    <c:v>Shopping</c:v>
                  </c:pt>
                  <c:pt idx="67">
                    <c:v>Social</c:v>
                  </c:pt>
                  <c:pt idx="68">
                    <c:v>Other</c:v>
                  </c:pt>
                  <c:pt idx="69">
                    <c:v>Total</c:v>
                  </c:pt>
                  <c:pt idx="70">
                    <c:v>Work</c:v>
                  </c:pt>
                  <c:pt idx="71">
                    <c:v>University</c:v>
                  </c:pt>
                  <c:pt idx="72">
                    <c:v>School</c:v>
                  </c:pt>
                  <c:pt idx="73">
                    <c:v>At-Work</c:v>
                  </c:pt>
                  <c:pt idx="74">
                    <c:v>Eat Out</c:v>
                  </c:pt>
                  <c:pt idx="75">
                    <c:v>Escort</c:v>
                  </c:pt>
                  <c:pt idx="76">
                    <c:v>Shopping</c:v>
                  </c:pt>
                  <c:pt idx="77">
                    <c:v>Social</c:v>
                  </c:pt>
                  <c:pt idx="78">
                    <c:v>Other</c:v>
                  </c:pt>
                  <c:pt idx="79">
                    <c:v>Total</c:v>
                  </c:pt>
                  <c:pt idx="80">
                    <c:v>Work</c:v>
                  </c:pt>
                  <c:pt idx="81">
                    <c:v>University</c:v>
                  </c:pt>
                  <c:pt idx="82">
                    <c:v>School</c:v>
                  </c:pt>
                  <c:pt idx="83">
                    <c:v>At-Work</c:v>
                  </c:pt>
                  <c:pt idx="84">
                    <c:v>Eat Out</c:v>
                  </c:pt>
                  <c:pt idx="85">
                    <c:v>Escort</c:v>
                  </c:pt>
                  <c:pt idx="86">
                    <c:v>Shopping</c:v>
                  </c:pt>
                  <c:pt idx="87">
                    <c:v>Social</c:v>
                  </c:pt>
                  <c:pt idx="88">
                    <c:v>Other</c:v>
                  </c:pt>
                  <c:pt idx="89">
                    <c:v>Total</c:v>
                  </c:pt>
                </c:lvl>
                <c:lvl>
                  <c:pt idx="0">
                    <c:v>San Francisco</c:v>
                  </c:pt>
                  <c:pt idx="10">
                    <c:v>San Mateo</c:v>
                  </c:pt>
                  <c:pt idx="20">
                    <c:v>Santa Clara</c:v>
                  </c:pt>
                  <c:pt idx="30">
                    <c:v>Alameda</c:v>
                  </c:pt>
                  <c:pt idx="40">
                    <c:v>Contra Costa</c:v>
                  </c:pt>
                  <c:pt idx="50">
                    <c:v>Solano</c:v>
                  </c:pt>
                  <c:pt idx="60">
                    <c:v>Napa</c:v>
                  </c:pt>
                  <c:pt idx="70">
                    <c:v>Sonoma</c:v>
                  </c:pt>
                  <c:pt idx="80">
                    <c:v>Marin</c:v>
                  </c:pt>
                  <c:pt idx="90">
                    <c:v>Bay Area</c:v>
                  </c:pt>
                </c:lvl>
              </c:multiLvlStrCache>
            </c:multiLvlStrRef>
          </c:cat>
          <c:val>
            <c:numRef>
              <c:f>'I.Forecast Mode Choice'!$I$8:$I$98</c:f>
              <c:numCache>
                <c:formatCode>0.0%</c:formatCode>
                <c:ptCount val="91"/>
                <c:pt idx="0">
                  <c:v>0.48709953967122549</c:v>
                </c:pt>
                <c:pt idx="1">
                  <c:v>0.53240313494304481</c:v>
                </c:pt>
                <c:pt idx="2">
                  <c:v>9.1495690351519068E-2</c:v>
                </c:pt>
                <c:pt idx="3">
                  <c:v>5.1363030834714232E-2</c:v>
                </c:pt>
                <c:pt idx="4">
                  <c:v>0.25628634737693884</c:v>
                </c:pt>
                <c:pt idx="5">
                  <c:v>0.1487374006848983</c:v>
                </c:pt>
                <c:pt idx="6">
                  <c:v>0.19487104928967325</c:v>
                </c:pt>
                <c:pt idx="7">
                  <c:v>0.24514787979570021</c:v>
                </c:pt>
                <c:pt idx="8">
                  <c:v>0.20704706043767579</c:v>
                </c:pt>
                <c:pt idx="9">
                  <c:v>0.29381230419994003</c:v>
                </c:pt>
                <c:pt idx="10">
                  <c:v>0.19368256120409572</c:v>
                </c:pt>
                <c:pt idx="11">
                  <c:v>0.23731261711430357</c:v>
                </c:pt>
                <c:pt idx="12">
                  <c:v>2.46675634256192E-2</c:v>
                </c:pt>
                <c:pt idx="13">
                  <c:v>1.6000479928696309E-2</c:v>
                </c:pt>
                <c:pt idx="14">
                  <c:v>7.1666502414506755E-2</c:v>
                </c:pt>
                <c:pt idx="15">
                  <c:v>2.6325668325332865E-2</c:v>
                </c:pt>
                <c:pt idx="16">
                  <c:v>3.2743425038577793E-2</c:v>
                </c:pt>
                <c:pt idx="17">
                  <c:v>6.6646433153530985E-2</c:v>
                </c:pt>
                <c:pt idx="18">
                  <c:v>4.8903506276245859E-2</c:v>
                </c:pt>
                <c:pt idx="19">
                  <c:v>8.5523999913083154E-2</c:v>
                </c:pt>
                <c:pt idx="20">
                  <c:v>0.1146022501598306</c:v>
                </c:pt>
                <c:pt idx="21">
                  <c:v>0.21366551668248859</c:v>
                </c:pt>
                <c:pt idx="22">
                  <c:v>2.2027230530745467E-2</c:v>
                </c:pt>
                <c:pt idx="23">
                  <c:v>8.6490066225165564E-3</c:v>
                </c:pt>
                <c:pt idx="24">
                  <c:v>3.7979079556030949E-2</c:v>
                </c:pt>
                <c:pt idx="25">
                  <c:v>2.0557220057118686E-2</c:v>
                </c:pt>
                <c:pt idx="26">
                  <c:v>2.6988341330889953E-2</c:v>
                </c:pt>
                <c:pt idx="27">
                  <c:v>3.3590954894655585E-2</c:v>
                </c:pt>
                <c:pt idx="28">
                  <c:v>2.6375239986653917E-2</c:v>
                </c:pt>
                <c:pt idx="29">
                  <c:v>5.3677303530937651E-2</c:v>
                </c:pt>
                <c:pt idx="30">
                  <c:v>0.18510968344866383</c:v>
                </c:pt>
                <c:pt idx="31">
                  <c:v>0.24080042664688014</c:v>
                </c:pt>
                <c:pt idx="32">
                  <c:v>3.183878812975318E-2</c:v>
                </c:pt>
                <c:pt idx="33">
                  <c:v>1.4283352316566852E-2</c:v>
                </c:pt>
                <c:pt idx="34">
                  <c:v>6.5961231892428904E-2</c:v>
                </c:pt>
                <c:pt idx="35">
                  <c:v>2.1141762975150795E-2</c:v>
                </c:pt>
                <c:pt idx="36">
                  <c:v>4.8304713496114808E-2</c:v>
                </c:pt>
                <c:pt idx="37">
                  <c:v>6.0566662872138376E-2</c:v>
                </c:pt>
                <c:pt idx="38">
                  <c:v>5.0097026410193701E-2</c:v>
                </c:pt>
                <c:pt idx="39">
                  <c:v>8.6308953652987602E-2</c:v>
                </c:pt>
                <c:pt idx="40">
                  <c:v>0.12869088682823396</c:v>
                </c:pt>
                <c:pt idx="41">
                  <c:v>0.13324587706146926</c:v>
                </c:pt>
                <c:pt idx="42">
                  <c:v>1.3660570515394505E-2</c:v>
                </c:pt>
                <c:pt idx="43">
                  <c:v>8.494072954997085E-3</c:v>
                </c:pt>
                <c:pt idx="44">
                  <c:v>3.4237793984741166E-2</c:v>
                </c:pt>
                <c:pt idx="45">
                  <c:v>9.2343378387636649E-3</c:v>
                </c:pt>
                <c:pt idx="46">
                  <c:v>1.2859748504884336E-2</c:v>
                </c:pt>
                <c:pt idx="47">
                  <c:v>3.0642471084699727E-2</c:v>
                </c:pt>
                <c:pt idx="48">
                  <c:v>1.9559688671190942E-2</c:v>
                </c:pt>
                <c:pt idx="49">
                  <c:v>4.6418706208899235E-2</c:v>
                </c:pt>
                <c:pt idx="50">
                  <c:v>5.1160471324600963E-2</c:v>
                </c:pt>
                <c:pt idx="51">
                  <c:v>9.5380632634900084E-2</c:v>
                </c:pt>
                <c:pt idx="52">
                  <c:v>5.5497172005809494E-3</c:v>
                </c:pt>
                <c:pt idx="53">
                  <c:v>3.1687103911201111E-3</c:v>
                </c:pt>
                <c:pt idx="54">
                  <c:v>1.0849182962764532E-2</c:v>
                </c:pt>
                <c:pt idx="55">
                  <c:v>3.9851003807071838E-3</c:v>
                </c:pt>
                <c:pt idx="56">
                  <c:v>4.2940085476977667E-3</c:v>
                </c:pt>
                <c:pt idx="57">
                  <c:v>8.9348758894139367E-3</c:v>
                </c:pt>
                <c:pt idx="58">
                  <c:v>3.9080982711555958E-3</c:v>
                </c:pt>
                <c:pt idx="59">
                  <c:v>1.8011447083994936E-2</c:v>
                </c:pt>
                <c:pt idx="60">
                  <c:v>3.8429020581785517E-2</c:v>
                </c:pt>
                <c:pt idx="61">
                  <c:v>3.6498353457738747E-2</c:v>
                </c:pt>
                <c:pt idx="62">
                  <c:v>8.3329735330944267E-3</c:v>
                </c:pt>
                <c:pt idx="63">
                  <c:v>3.2589016294508146E-3</c:v>
                </c:pt>
                <c:pt idx="64">
                  <c:v>1.1962782454585734E-2</c:v>
                </c:pt>
                <c:pt idx="65">
                  <c:v>6.1071810270242758E-3</c:v>
                </c:pt>
                <c:pt idx="66">
                  <c:v>7.2765538241089016E-3</c:v>
                </c:pt>
                <c:pt idx="67">
                  <c:v>9.314456035767511E-3</c:v>
                </c:pt>
                <c:pt idx="68">
                  <c:v>5.6053982422202249E-3</c:v>
                </c:pt>
                <c:pt idx="69">
                  <c:v>1.5966924610797066E-2</c:v>
                </c:pt>
                <c:pt idx="70">
                  <c:v>3.0507555383861046E-2</c:v>
                </c:pt>
                <c:pt idx="71">
                  <c:v>8.0173540948532032E-2</c:v>
                </c:pt>
                <c:pt idx="72">
                  <c:v>6.990788607951875E-3</c:v>
                </c:pt>
                <c:pt idx="73">
                  <c:v>2.6789674443360241E-3</c:v>
                </c:pt>
                <c:pt idx="74">
                  <c:v>1.0194861318456825E-2</c:v>
                </c:pt>
                <c:pt idx="75">
                  <c:v>5.9603656428482525E-3</c:v>
                </c:pt>
                <c:pt idx="76">
                  <c:v>8.4615157509373793E-3</c:v>
                </c:pt>
                <c:pt idx="77">
                  <c:v>8.5112663583587524E-3</c:v>
                </c:pt>
                <c:pt idx="78">
                  <c:v>6.0844917454140049E-3</c:v>
                </c:pt>
                <c:pt idx="79">
                  <c:v>1.4460788708710145E-2</c:v>
                </c:pt>
                <c:pt idx="80">
                  <c:v>0.14109014041974935</c:v>
                </c:pt>
                <c:pt idx="81">
                  <c:v>0.15940685820203893</c:v>
                </c:pt>
                <c:pt idx="82">
                  <c:v>1.4141633228500162E-2</c:v>
                </c:pt>
                <c:pt idx="83">
                  <c:v>1.2485222456099883E-2</c:v>
                </c:pt>
                <c:pt idx="84">
                  <c:v>2.6974187515938004E-2</c:v>
                </c:pt>
                <c:pt idx="85">
                  <c:v>7.8161132180186842E-3</c:v>
                </c:pt>
                <c:pt idx="86">
                  <c:v>1.05176996602651E-2</c:v>
                </c:pt>
                <c:pt idx="87">
                  <c:v>2.1541995010493802E-2</c:v>
                </c:pt>
                <c:pt idx="88">
                  <c:v>1.6459283925825189E-2</c:v>
                </c:pt>
                <c:pt idx="89">
                  <c:v>4.9925447671252017E-2</c:v>
                </c:pt>
                <c:pt idx="90">
                  <c:v>8.5955992564412984E-2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B2-464B-955C-8D23F85E5747}"/>
            </c:ext>
          </c:extLst>
        </c:ser>
        <c:ser>
          <c:idx val="6"/>
          <c:order val="5"/>
          <c:tx>
            <c:strRef>
              <c:f>'I.Forecast Mode Choice'!$J$7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'I.Forecast Mode Choice'!$B$8:$C$98</c:f>
              <c:multiLvlStrCache>
                <c:ptCount val="91"/>
                <c:lvl>
                  <c:pt idx="0">
                    <c:v>Work</c:v>
                  </c:pt>
                  <c:pt idx="1">
                    <c:v>University</c:v>
                  </c:pt>
                  <c:pt idx="2">
                    <c:v>School</c:v>
                  </c:pt>
                  <c:pt idx="3">
                    <c:v>At-Work</c:v>
                  </c:pt>
                  <c:pt idx="4">
                    <c:v>Eat Out</c:v>
                  </c:pt>
                  <c:pt idx="5">
                    <c:v>Escort</c:v>
                  </c:pt>
                  <c:pt idx="6">
                    <c:v>Shopping</c:v>
                  </c:pt>
                  <c:pt idx="7">
                    <c:v>Social</c:v>
                  </c:pt>
                  <c:pt idx="8">
                    <c:v>Other</c:v>
                  </c:pt>
                  <c:pt idx="9">
                    <c:v>Total</c:v>
                  </c:pt>
                  <c:pt idx="10">
                    <c:v>Work</c:v>
                  </c:pt>
                  <c:pt idx="11">
                    <c:v>University</c:v>
                  </c:pt>
                  <c:pt idx="12">
                    <c:v>School</c:v>
                  </c:pt>
                  <c:pt idx="13">
                    <c:v>At-Work</c:v>
                  </c:pt>
                  <c:pt idx="14">
                    <c:v>Eat Out</c:v>
                  </c:pt>
                  <c:pt idx="15">
                    <c:v>Escort</c:v>
                  </c:pt>
                  <c:pt idx="16">
                    <c:v>Shopping</c:v>
                  </c:pt>
                  <c:pt idx="17">
                    <c:v>Social</c:v>
                  </c:pt>
                  <c:pt idx="18">
                    <c:v>Other</c:v>
                  </c:pt>
                  <c:pt idx="19">
                    <c:v>Total</c:v>
                  </c:pt>
                  <c:pt idx="20">
                    <c:v>Work</c:v>
                  </c:pt>
                  <c:pt idx="21">
                    <c:v>University</c:v>
                  </c:pt>
                  <c:pt idx="22">
                    <c:v>School</c:v>
                  </c:pt>
                  <c:pt idx="23">
                    <c:v>At-Work</c:v>
                  </c:pt>
                  <c:pt idx="24">
                    <c:v>Eat Out</c:v>
                  </c:pt>
                  <c:pt idx="25">
                    <c:v>Escort</c:v>
                  </c:pt>
                  <c:pt idx="26">
                    <c:v>Shopping</c:v>
                  </c:pt>
                  <c:pt idx="27">
                    <c:v>Social</c:v>
                  </c:pt>
                  <c:pt idx="28">
                    <c:v>Other</c:v>
                  </c:pt>
                  <c:pt idx="29">
                    <c:v>Total</c:v>
                  </c:pt>
                  <c:pt idx="30">
                    <c:v>Work</c:v>
                  </c:pt>
                  <c:pt idx="31">
                    <c:v>University</c:v>
                  </c:pt>
                  <c:pt idx="32">
                    <c:v>School</c:v>
                  </c:pt>
                  <c:pt idx="33">
                    <c:v>At-Work</c:v>
                  </c:pt>
                  <c:pt idx="34">
                    <c:v>Eat Out</c:v>
                  </c:pt>
                  <c:pt idx="35">
                    <c:v>Escort</c:v>
                  </c:pt>
                  <c:pt idx="36">
                    <c:v>Shopping</c:v>
                  </c:pt>
                  <c:pt idx="37">
                    <c:v>Social</c:v>
                  </c:pt>
                  <c:pt idx="38">
                    <c:v>Other</c:v>
                  </c:pt>
                  <c:pt idx="39">
                    <c:v>Total</c:v>
                  </c:pt>
                  <c:pt idx="40">
                    <c:v>Work</c:v>
                  </c:pt>
                  <c:pt idx="41">
                    <c:v>University</c:v>
                  </c:pt>
                  <c:pt idx="42">
                    <c:v>School</c:v>
                  </c:pt>
                  <c:pt idx="43">
                    <c:v>At-Work</c:v>
                  </c:pt>
                  <c:pt idx="44">
                    <c:v>Eat Out</c:v>
                  </c:pt>
                  <c:pt idx="45">
                    <c:v>Escort</c:v>
                  </c:pt>
                  <c:pt idx="46">
                    <c:v>Shopping</c:v>
                  </c:pt>
                  <c:pt idx="47">
                    <c:v>Social</c:v>
                  </c:pt>
                  <c:pt idx="48">
                    <c:v>Other</c:v>
                  </c:pt>
                  <c:pt idx="49">
                    <c:v>Total</c:v>
                  </c:pt>
                  <c:pt idx="50">
                    <c:v>Work</c:v>
                  </c:pt>
                  <c:pt idx="51">
                    <c:v>University</c:v>
                  </c:pt>
                  <c:pt idx="52">
                    <c:v>School</c:v>
                  </c:pt>
                  <c:pt idx="53">
                    <c:v>At-Work</c:v>
                  </c:pt>
                  <c:pt idx="54">
                    <c:v>Eat Out</c:v>
                  </c:pt>
                  <c:pt idx="55">
                    <c:v>Escort</c:v>
                  </c:pt>
                  <c:pt idx="56">
                    <c:v>Shopping</c:v>
                  </c:pt>
                  <c:pt idx="57">
                    <c:v>Social</c:v>
                  </c:pt>
                  <c:pt idx="58">
                    <c:v>Other</c:v>
                  </c:pt>
                  <c:pt idx="59">
                    <c:v>Total</c:v>
                  </c:pt>
                  <c:pt idx="60">
                    <c:v>Work</c:v>
                  </c:pt>
                  <c:pt idx="61">
                    <c:v>University</c:v>
                  </c:pt>
                  <c:pt idx="62">
                    <c:v>School</c:v>
                  </c:pt>
                  <c:pt idx="63">
                    <c:v>At-Work</c:v>
                  </c:pt>
                  <c:pt idx="64">
                    <c:v>Eat Out</c:v>
                  </c:pt>
                  <c:pt idx="65">
                    <c:v>Escort</c:v>
                  </c:pt>
                  <c:pt idx="66">
                    <c:v>Shopping</c:v>
                  </c:pt>
                  <c:pt idx="67">
                    <c:v>Social</c:v>
                  </c:pt>
                  <c:pt idx="68">
                    <c:v>Other</c:v>
                  </c:pt>
                  <c:pt idx="69">
                    <c:v>Total</c:v>
                  </c:pt>
                  <c:pt idx="70">
                    <c:v>Work</c:v>
                  </c:pt>
                  <c:pt idx="71">
                    <c:v>University</c:v>
                  </c:pt>
                  <c:pt idx="72">
                    <c:v>School</c:v>
                  </c:pt>
                  <c:pt idx="73">
                    <c:v>At-Work</c:v>
                  </c:pt>
                  <c:pt idx="74">
                    <c:v>Eat Out</c:v>
                  </c:pt>
                  <c:pt idx="75">
                    <c:v>Escort</c:v>
                  </c:pt>
                  <c:pt idx="76">
                    <c:v>Shopping</c:v>
                  </c:pt>
                  <c:pt idx="77">
                    <c:v>Social</c:v>
                  </c:pt>
                  <c:pt idx="78">
                    <c:v>Other</c:v>
                  </c:pt>
                  <c:pt idx="79">
                    <c:v>Total</c:v>
                  </c:pt>
                  <c:pt idx="80">
                    <c:v>Work</c:v>
                  </c:pt>
                  <c:pt idx="81">
                    <c:v>University</c:v>
                  </c:pt>
                  <c:pt idx="82">
                    <c:v>School</c:v>
                  </c:pt>
                  <c:pt idx="83">
                    <c:v>At-Work</c:v>
                  </c:pt>
                  <c:pt idx="84">
                    <c:v>Eat Out</c:v>
                  </c:pt>
                  <c:pt idx="85">
                    <c:v>Escort</c:v>
                  </c:pt>
                  <c:pt idx="86">
                    <c:v>Shopping</c:v>
                  </c:pt>
                  <c:pt idx="87">
                    <c:v>Social</c:v>
                  </c:pt>
                  <c:pt idx="88">
                    <c:v>Other</c:v>
                  </c:pt>
                  <c:pt idx="89">
                    <c:v>Total</c:v>
                  </c:pt>
                </c:lvl>
                <c:lvl>
                  <c:pt idx="0">
                    <c:v>San Francisco</c:v>
                  </c:pt>
                  <c:pt idx="10">
                    <c:v>San Mateo</c:v>
                  </c:pt>
                  <c:pt idx="20">
                    <c:v>Santa Clara</c:v>
                  </c:pt>
                  <c:pt idx="30">
                    <c:v>Alameda</c:v>
                  </c:pt>
                  <c:pt idx="40">
                    <c:v>Contra Costa</c:v>
                  </c:pt>
                  <c:pt idx="50">
                    <c:v>Solano</c:v>
                  </c:pt>
                  <c:pt idx="60">
                    <c:v>Napa</c:v>
                  </c:pt>
                  <c:pt idx="70">
                    <c:v>Sonoma</c:v>
                  </c:pt>
                  <c:pt idx="80">
                    <c:v>Marin</c:v>
                  </c:pt>
                  <c:pt idx="90">
                    <c:v>Bay Area</c:v>
                  </c:pt>
                </c:lvl>
              </c:multiLvlStrCache>
            </c:multiLvlStrRef>
          </c:cat>
          <c:val>
            <c:numRef>
              <c:f>'I.Forecast Mode Choice'!$J$8:$J$98</c:f>
              <c:numCache>
                <c:formatCode>0.0%</c:formatCode>
                <c:ptCount val="91"/>
                <c:pt idx="0">
                  <c:v>0.12092904989975031</c:v>
                </c:pt>
                <c:pt idx="1">
                  <c:v>0.26642883706835996</c:v>
                </c:pt>
                <c:pt idx="2">
                  <c:v>0.28322990810518012</c:v>
                </c:pt>
                <c:pt idx="3">
                  <c:v>0.53218962212041454</c:v>
                </c:pt>
                <c:pt idx="4">
                  <c:v>0.23942192072963223</c:v>
                </c:pt>
                <c:pt idx="5">
                  <c:v>0.30178209369330916</c:v>
                </c:pt>
                <c:pt idx="6">
                  <c:v>0.21094983206143109</c:v>
                </c:pt>
                <c:pt idx="7">
                  <c:v>0.25157382111889776</c:v>
                </c:pt>
                <c:pt idx="8">
                  <c:v>0.21801253687315633</c:v>
                </c:pt>
                <c:pt idx="9">
                  <c:v>0.21836432102103925</c:v>
                </c:pt>
                <c:pt idx="10">
                  <c:v>3.093075550988272E-2</c:v>
                </c:pt>
                <c:pt idx="11">
                  <c:v>4.2590568394753281E-2</c:v>
                </c:pt>
                <c:pt idx="12">
                  <c:v>0.15101019226779633</c:v>
                </c:pt>
                <c:pt idx="13">
                  <c:v>0.37248465942202874</c:v>
                </c:pt>
                <c:pt idx="14">
                  <c:v>0.16733024539272692</c:v>
                </c:pt>
                <c:pt idx="15">
                  <c:v>0.18919976677502576</c:v>
                </c:pt>
                <c:pt idx="16">
                  <c:v>9.4313917796664065E-2</c:v>
                </c:pt>
                <c:pt idx="17">
                  <c:v>0.14861975250734613</c:v>
                </c:pt>
                <c:pt idx="18">
                  <c:v>0.11029577448760114</c:v>
                </c:pt>
                <c:pt idx="19">
                  <c:v>0.11463570978466352</c:v>
                </c:pt>
                <c:pt idx="20">
                  <c:v>3.5154233864544374E-2</c:v>
                </c:pt>
                <c:pt idx="21">
                  <c:v>8.4828698665555272E-2</c:v>
                </c:pt>
                <c:pt idx="22">
                  <c:v>0.13542069776852944</c:v>
                </c:pt>
                <c:pt idx="23">
                  <c:v>0.2645794701986755</c:v>
                </c:pt>
                <c:pt idx="24">
                  <c:v>0.17133996416019559</c:v>
                </c:pt>
                <c:pt idx="25">
                  <c:v>0.18492987817850967</c:v>
                </c:pt>
                <c:pt idx="26">
                  <c:v>8.3269934448916325E-2</c:v>
                </c:pt>
                <c:pt idx="27">
                  <c:v>0.1505468294982851</c:v>
                </c:pt>
                <c:pt idx="28">
                  <c:v>0.10247101646043674</c:v>
                </c:pt>
                <c:pt idx="29">
                  <c:v>0.10501671647447534</c:v>
                </c:pt>
                <c:pt idx="30">
                  <c:v>4.6336080474972396E-2</c:v>
                </c:pt>
                <c:pt idx="31">
                  <c:v>0.19221524025938894</c:v>
                </c:pt>
                <c:pt idx="32">
                  <c:v>0.14985213180510445</c:v>
                </c:pt>
                <c:pt idx="33">
                  <c:v>0.35192159312194582</c:v>
                </c:pt>
                <c:pt idx="34">
                  <c:v>0.19610932698750086</c:v>
                </c:pt>
                <c:pt idx="35">
                  <c:v>0.19827991909728085</c:v>
                </c:pt>
                <c:pt idx="36">
                  <c:v>0.10179952339970733</c:v>
                </c:pt>
                <c:pt idx="37">
                  <c:v>0.18298813111493226</c:v>
                </c:pt>
                <c:pt idx="38">
                  <c:v>0.12695668147249459</c:v>
                </c:pt>
                <c:pt idx="39">
                  <c:v>0.13013099319776608</c:v>
                </c:pt>
                <c:pt idx="40">
                  <c:v>2.8304140721826517E-2</c:v>
                </c:pt>
                <c:pt idx="41">
                  <c:v>3.4777254230027844E-2</c:v>
                </c:pt>
                <c:pt idx="42">
                  <c:v>0.12245030399636583</c:v>
                </c:pt>
                <c:pt idx="43">
                  <c:v>0.3493101308275296</c:v>
                </c:pt>
                <c:pt idx="44">
                  <c:v>0.1955904916034385</c:v>
                </c:pt>
                <c:pt idx="45">
                  <c:v>0.23287463419885879</c:v>
                </c:pt>
                <c:pt idx="46">
                  <c:v>0.1035159332853961</c:v>
                </c:pt>
                <c:pt idx="47">
                  <c:v>0.17338242934094078</c:v>
                </c:pt>
                <c:pt idx="48">
                  <c:v>0.13542261124102384</c:v>
                </c:pt>
                <c:pt idx="49">
                  <c:v>0.12558643692799051</c:v>
                </c:pt>
                <c:pt idx="50">
                  <c:v>2.2732255471346094E-2</c:v>
                </c:pt>
                <c:pt idx="51">
                  <c:v>1.3672033007038266E-2</c:v>
                </c:pt>
                <c:pt idx="52">
                  <c:v>0.12894236559647651</c:v>
                </c:pt>
                <c:pt idx="53">
                  <c:v>0.28445269434132076</c:v>
                </c:pt>
                <c:pt idx="54">
                  <c:v>0.22988659701759084</c:v>
                </c:pt>
                <c:pt idx="55">
                  <c:v>0.24903453753663279</c:v>
                </c:pt>
                <c:pt idx="56">
                  <c:v>0.11390210466897831</c:v>
                </c:pt>
                <c:pt idx="57">
                  <c:v>0.19222204117103905</c:v>
                </c:pt>
                <c:pt idx="58">
                  <c:v>0.15479526842584168</c:v>
                </c:pt>
                <c:pt idx="59">
                  <c:v>0.1302974763229415</c:v>
                </c:pt>
                <c:pt idx="60">
                  <c:v>2.9010013474596422E-2</c:v>
                </c:pt>
                <c:pt idx="61">
                  <c:v>1.3721185510428101E-2</c:v>
                </c:pt>
                <c:pt idx="62">
                  <c:v>9.4771382928198269E-2</c:v>
                </c:pt>
                <c:pt idx="63">
                  <c:v>0.27398913699456851</c:v>
                </c:pt>
                <c:pt idx="64">
                  <c:v>0.19524442475262146</c:v>
                </c:pt>
                <c:pt idx="65">
                  <c:v>0.18698152577739324</c:v>
                </c:pt>
                <c:pt idx="66">
                  <c:v>9.7147590900949307E-2</c:v>
                </c:pt>
                <c:pt idx="67">
                  <c:v>0.16579731743666171</c:v>
                </c:pt>
                <c:pt idx="68">
                  <c:v>0.12031804542200424</c:v>
                </c:pt>
                <c:pt idx="69">
                  <c:v>0.10726451164407369</c:v>
                </c:pt>
                <c:pt idx="70">
                  <c:v>2.0270270270270271E-2</c:v>
                </c:pt>
                <c:pt idx="71">
                  <c:v>0.11868536788303816</c:v>
                </c:pt>
                <c:pt idx="72">
                  <c:v>7.0283861265156497E-2</c:v>
                </c:pt>
                <c:pt idx="73">
                  <c:v>0.21781247227889647</c:v>
                </c:pt>
                <c:pt idx="74">
                  <c:v>0.1629017050365365</c:v>
                </c:pt>
                <c:pt idx="75">
                  <c:v>0.150959051873159</c:v>
                </c:pt>
                <c:pt idx="76">
                  <c:v>7.8586401346284432E-2</c:v>
                </c:pt>
                <c:pt idx="77">
                  <c:v>0.13180163337597167</c:v>
                </c:pt>
                <c:pt idx="78">
                  <c:v>0.10504078954405394</c:v>
                </c:pt>
                <c:pt idx="79">
                  <c:v>8.8783026405184998E-2</c:v>
                </c:pt>
                <c:pt idx="80">
                  <c:v>2.2032311641250187E-2</c:v>
                </c:pt>
                <c:pt idx="81">
                  <c:v>6.1167747914735865E-2</c:v>
                </c:pt>
                <c:pt idx="82">
                  <c:v>0.12688428586921158</c:v>
                </c:pt>
                <c:pt idx="83">
                  <c:v>0.36579106715492632</c:v>
                </c:pt>
                <c:pt idx="84">
                  <c:v>0.19224775451222623</c:v>
                </c:pt>
                <c:pt idx="85">
                  <c:v>0.24352511331051707</c:v>
                </c:pt>
                <c:pt idx="86">
                  <c:v>0.11156682919959865</c:v>
                </c:pt>
                <c:pt idx="87">
                  <c:v>0.16928681740783275</c:v>
                </c:pt>
                <c:pt idx="88">
                  <c:v>0.13643411837974556</c:v>
                </c:pt>
                <c:pt idx="89">
                  <c:v>0.1245682872336878</c:v>
                </c:pt>
                <c:pt idx="90">
                  <c:v>0.12836522870368131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B2-464B-955C-8D23F85E5747}"/>
            </c:ext>
          </c:extLst>
        </c:ser>
        <c:ser>
          <c:idx val="7"/>
          <c:order val="6"/>
          <c:tx>
            <c:strRef>
              <c:f>'I.Forecast Mode Choice'!$K$7</c:f>
              <c:strCache>
                <c:ptCount val="1"/>
                <c:pt idx="0">
                  <c:v>Bicycle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'I.Forecast Mode Choice'!$B$8:$C$98</c:f>
              <c:multiLvlStrCache>
                <c:ptCount val="91"/>
                <c:lvl>
                  <c:pt idx="0">
                    <c:v>Work</c:v>
                  </c:pt>
                  <c:pt idx="1">
                    <c:v>University</c:v>
                  </c:pt>
                  <c:pt idx="2">
                    <c:v>School</c:v>
                  </c:pt>
                  <c:pt idx="3">
                    <c:v>At-Work</c:v>
                  </c:pt>
                  <c:pt idx="4">
                    <c:v>Eat Out</c:v>
                  </c:pt>
                  <c:pt idx="5">
                    <c:v>Escort</c:v>
                  </c:pt>
                  <c:pt idx="6">
                    <c:v>Shopping</c:v>
                  </c:pt>
                  <c:pt idx="7">
                    <c:v>Social</c:v>
                  </c:pt>
                  <c:pt idx="8">
                    <c:v>Other</c:v>
                  </c:pt>
                  <c:pt idx="9">
                    <c:v>Total</c:v>
                  </c:pt>
                  <c:pt idx="10">
                    <c:v>Work</c:v>
                  </c:pt>
                  <c:pt idx="11">
                    <c:v>University</c:v>
                  </c:pt>
                  <c:pt idx="12">
                    <c:v>School</c:v>
                  </c:pt>
                  <c:pt idx="13">
                    <c:v>At-Work</c:v>
                  </c:pt>
                  <c:pt idx="14">
                    <c:v>Eat Out</c:v>
                  </c:pt>
                  <c:pt idx="15">
                    <c:v>Escort</c:v>
                  </c:pt>
                  <c:pt idx="16">
                    <c:v>Shopping</c:v>
                  </c:pt>
                  <c:pt idx="17">
                    <c:v>Social</c:v>
                  </c:pt>
                  <c:pt idx="18">
                    <c:v>Other</c:v>
                  </c:pt>
                  <c:pt idx="19">
                    <c:v>Total</c:v>
                  </c:pt>
                  <c:pt idx="20">
                    <c:v>Work</c:v>
                  </c:pt>
                  <c:pt idx="21">
                    <c:v>University</c:v>
                  </c:pt>
                  <c:pt idx="22">
                    <c:v>School</c:v>
                  </c:pt>
                  <c:pt idx="23">
                    <c:v>At-Work</c:v>
                  </c:pt>
                  <c:pt idx="24">
                    <c:v>Eat Out</c:v>
                  </c:pt>
                  <c:pt idx="25">
                    <c:v>Escort</c:v>
                  </c:pt>
                  <c:pt idx="26">
                    <c:v>Shopping</c:v>
                  </c:pt>
                  <c:pt idx="27">
                    <c:v>Social</c:v>
                  </c:pt>
                  <c:pt idx="28">
                    <c:v>Other</c:v>
                  </c:pt>
                  <c:pt idx="29">
                    <c:v>Total</c:v>
                  </c:pt>
                  <c:pt idx="30">
                    <c:v>Work</c:v>
                  </c:pt>
                  <c:pt idx="31">
                    <c:v>University</c:v>
                  </c:pt>
                  <c:pt idx="32">
                    <c:v>School</c:v>
                  </c:pt>
                  <c:pt idx="33">
                    <c:v>At-Work</c:v>
                  </c:pt>
                  <c:pt idx="34">
                    <c:v>Eat Out</c:v>
                  </c:pt>
                  <c:pt idx="35">
                    <c:v>Escort</c:v>
                  </c:pt>
                  <c:pt idx="36">
                    <c:v>Shopping</c:v>
                  </c:pt>
                  <c:pt idx="37">
                    <c:v>Social</c:v>
                  </c:pt>
                  <c:pt idx="38">
                    <c:v>Other</c:v>
                  </c:pt>
                  <c:pt idx="39">
                    <c:v>Total</c:v>
                  </c:pt>
                  <c:pt idx="40">
                    <c:v>Work</c:v>
                  </c:pt>
                  <c:pt idx="41">
                    <c:v>University</c:v>
                  </c:pt>
                  <c:pt idx="42">
                    <c:v>School</c:v>
                  </c:pt>
                  <c:pt idx="43">
                    <c:v>At-Work</c:v>
                  </c:pt>
                  <c:pt idx="44">
                    <c:v>Eat Out</c:v>
                  </c:pt>
                  <c:pt idx="45">
                    <c:v>Escort</c:v>
                  </c:pt>
                  <c:pt idx="46">
                    <c:v>Shopping</c:v>
                  </c:pt>
                  <c:pt idx="47">
                    <c:v>Social</c:v>
                  </c:pt>
                  <c:pt idx="48">
                    <c:v>Other</c:v>
                  </c:pt>
                  <c:pt idx="49">
                    <c:v>Total</c:v>
                  </c:pt>
                  <c:pt idx="50">
                    <c:v>Work</c:v>
                  </c:pt>
                  <c:pt idx="51">
                    <c:v>University</c:v>
                  </c:pt>
                  <c:pt idx="52">
                    <c:v>School</c:v>
                  </c:pt>
                  <c:pt idx="53">
                    <c:v>At-Work</c:v>
                  </c:pt>
                  <c:pt idx="54">
                    <c:v>Eat Out</c:v>
                  </c:pt>
                  <c:pt idx="55">
                    <c:v>Escort</c:v>
                  </c:pt>
                  <c:pt idx="56">
                    <c:v>Shopping</c:v>
                  </c:pt>
                  <c:pt idx="57">
                    <c:v>Social</c:v>
                  </c:pt>
                  <c:pt idx="58">
                    <c:v>Other</c:v>
                  </c:pt>
                  <c:pt idx="59">
                    <c:v>Total</c:v>
                  </c:pt>
                  <c:pt idx="60">
                    <c:v>Work</c:v>
                  </c:pt>
                  <c:pt idx="61">
                    <c:v>University</c:v>
                  </c:pt>
                  <c:pt idx="62">
                    <c:v>School</c:v>
                  </c:pt>
                  <c:pt idx="63">
                    <c:v>At-Work</c:v>
                  </c:pt>
                  <c:pt idx="64">
                    <c:v>Eat Out</c:v>
                  </c:pt>
                  <c:pt idx="65">
                    <c:v>Escort</c:v>
                  </c:pt>
                  <c:pt idx="66">
                    <c:v>Shopping</c:v>
                  </c:pt>
                  <c:pt idx="67">
                    <c:v>Social</c:v>
                  </c:pt>
                  <c:pt idx="68">
                    <c:v>Other</c:v>
                  </c:pt>
                  <c:pt idx="69">
                    <c:v>Total</c:v>
                  </c:pt>
                  <c:pt idx="70">
                    <c:v>Work</c:v>
                  </c:pt>
                  <c:pt idx="71">
                    <c:v>University</c:v>
                  </c:pt>
                  <c:pt idx="72">
                    <c:v>School</c:v>
                  </c:pt>
                  <c:pt idx="73">
                    <c:v>At-Work</c:v>
                  </c:pt>
                  <c:pt idx="74">
                    <c:v>Eat Out</c:v>
                  </c:pt>
                  <c:pt idx="75">
                    <c:v>Escort</c:v>
                  </c:pt>
                  <c:pt idx="76">
                    <c:v>Shopping</c:v>
                  </c:pt>
                  <c:pt idx="77">
                    <c:v>Social</c:v>
                  </c:pt>
                  <c:pt idx="78">
                    <c:v>Other</c:v>
                  </c:pt>
                  <c:pt idx="79">
                    <c:v>Total</c:v>
                  </c:pt>
                  <c:pt idx="80">
                    <c:v>Work</c:v>
                  </c:pt>
                  <c:pt idx="81">
                    <c:v>University</c:v>
                  </c:pt>
                  <c:pt idx="82">
                    <c:v>School</c:v>
                  </c:pt>
                  <c:pt idx="83">
                    <c:v>At-Work</c:v>
                  </c:pt>
                  <c:pt idx="84">
                    <c:v>Eat Out</c:v>
                  </c:pt>
                  <c:pt idx="85">
                    <c:v>Escort</c:v>
                  </c:pt>
                  <c:pt idx="86">
                    <c:v>Shopping</c:v>
                  </c:pt>
                  <c:pt idx="87">
                    <c:v>Social</c:v>
                  </c:pt>
                  <c:pt idx="88">
                    <c:v>Other</c:v>
                  </c:pt>
                  <c:pt idx="89">
                    <c:v>Total</c:v>
                  </c:pt>
                </c:lvl>
                <c:lvl>
                  <c:pt idx="0">
                    <c:v>San Francisco</c:v>
                  </c:pt>
                  <c:pt idx="10">
                    <c:v>San Mateo</c:v>
                  </c:pt>
                  <c:pt idx="20">
                    <c:v>Santa Clara</c:v>
                  </c:pt>
                  <c:pt idx="30">
                    <c:v>Alameda</c:v>
                  </c:pt>
                  <c:pt idx="40">
                    <c:v>Contra Costa</c:v>
                  </c:pt>
                  <c:pt idx="50">
                    <c:v>Solano</c:v>
                  </c:pt>
                  <c:pt idx="60">
                    <c:v>Napa</c:v>
                  </c:pt>
                  <c:pt idx="70">
                    <c:v>Sonoma</c:v>
                  </c:pt>
                  <c:pt idx="80">
                    <c:v>Marin</c:v>
                  </c:pt>
                  <c:pt idx="90">
                    <c:v>Bay Area</c:v>
                  </c:pt>
                </c:lvl>
              </c:multiLvlStrCache>
            </c:multiLvlStrRef>
          </c:cat>
          <c:val>
            <c:numRef>
              <c:f>'I.Forecast Mode Choice'!$K$8:$K$98</c:f>
              <c:numCache>
                <c:formatCode>0.0%</c:formatCode>
                <c:ptCount val="91"/>
                <c:pt idx="0">
                  <c:v>7.6751104274957863E-2</c:v>
                </c:pt>
                <c:pt idx="1">
                  <c:v>6.1569399870525197E-2</c:v>
                </c:pt>
                <c:pt idx="2">
                  <c:v>0.18024498949909246</c:v>
                </c:pt>
                <c:pt idx="3">
                  <c:v>7.7674887091009517E-2</c:v>
                </c:pt>
                <c:pt idx="4">
                  <c:v>8.6870703541529593E-2</c:v>
                </c:pt>
                <c:pt idx="5">
                  <c:v>8.0043849011942059E-2</c:v>
                </c:pt>
                <c:pt idx="6">
                  <c:v>4.0705816727393568E-2</c:v>
                </c:pt>
                <c:pt idx="7">
                  <c:v>7.8405986459199425E-2</c:v>
                </c:pt>
                <c:pt idx="8">
                  <c:v>6.872341702682308E-2</c:v>
                </c:pt>
                <c:pt idx="9">
                  <c:v>7.484460166702539E-2</c:v>
                </c:pt>
                <c:pt idx="10">
                  <c:v>7.3130371415230544E-2</c:v>
                </c:pt>
                <c:pt idx="11">
                  <c:v>0.1000156152404747</c:v>
                </c:pt>
                <c:pt idx="12">
                  <c:v>0.14051677407697405</c:v>
                </c:pt>
                <c:pt idx="13">
                  <c:v>5.938260601282095E-2</c:v>
                </c:pt>
                <c:pt idx="14">
                  <c:v>7.5519858086133831E-2</c:v>
                </c:pt>
                <c:pt idx="15">
                  <c:v>6.3058601768356481E-2</c:v>
                </c:pt>
                <c:pt idx="16">
                  <c:v>3.2987778956776133E-2</c:v>
                </c:pt>
                <c:pt idx="17">
                  <c:v>7.0067736283747434E-2</c:v>
                </c:pt>
                <c:pt idx="18">
                  <c:v>5.033970251846457E-2</c:v>
                </c:pt>
                <c:pt idx="19">
                  <c:v>6.5475000543230258E-2</c:v>
                </c:pt>
                <c:pt idx="20">
                  <c:v>8.5638044424054094E-2</c:v>
                </c:pt>
                <c:pt idx="21">
                  <c:v>9.0323925073514083E-2</c:v>
                </c:pt>
                <c:pt idx="22">
                  <c:v>0.10871646768226477</c:v>
                </c:pt>
                <c:pt idx="23">
                  <c:v>7.4662251655629133E-2</c:v>
                </c:pt>
                <c:pt idx="24">
                  <c:v>7.155805909400309E-2</c:v>
                </c:pt>
                <c:pt idx="25">
                  <c:v>5.2082629361807575E-2</c:v>
                </c:pt>
                <c:pt idx="26">
                  <c:v>2.5878613588052445E-2</c:v>
                </c:pt>
                <c:pt idx="27">
                  <c:v>6.193086743891503E-2</c:v>
                </c:pt>
                <c:pt idx="28">
                  <c:v>4.4636920398885491E-2</c:v>
                </c:pt>
                <c:pt idx="29">
                  <c:v>6.36124420245789E-2</c:v>
                </c:pt>
                <c:pt idx="30">
                  <c:v>8.5028362173474023E-2</c:v>
                </c:pt>
                <c:pt idx="31">
                  <c:v>0.13165766225334477</c:v>
                </c:pt>
                <c:pt idx="32">
                  <c:v>0.11605103847663312</c:v>
                </c:pt>
                <c:pt idx="33">
                  <c:v>6.97174560017636E-2</c:v>
                </c:pt>
                <c:pt idx="34">
                  <c:v>7.0771434512395162E-2</c:v>
                </c:pt>
                <c:pt idx="35">
                  <c:v>5.4239309668449733E-2</c:v>
                </c:pt>
                <c:pt idx="36">
                  <c:v>2.6974209523927883E-2</c:v>
                </c:pt>
                <c:pt idx="37">
                  <c:v>6.4065617379738413E-2</c:v>
                </c:pt>
                <c:pt idx="38">
                  <c:v>4.8075331368953471E-2</c:v>
                </c:pt>
                <c:pt idx="39">
                  <c:v>6.6002002688154857E-2</c:v>
                </c:pt>
                <c:pt idx="40">
                  <c:v>5.6452985709806031E-2</c:v>
                </c:pt>
                <c:pt idx="41">
                  <c:v>8.4198971942600134E-2</c:v>
                </c:pt>
                <c:pt idx="42">
                  <c:v>0.14544776089134412</c:v>
                </c:pt>
                <c:pt idx="43">
                  <c:v>4.5002914940165367E-2</c:v>
                </c:pt>
                <c:pt idx="44">
                  <c:v>6.9554495330573007E-2</c:v>
                </c:pt>
                <c:pt idx="45">
                  <c:v>6.0847777788652579E-2</c:v>
                </c:pt>
                <c:pt idx="46">
                  <c:v>3.0246496781774497E-2</c:v>
                </c:pt>
                <c:pt idx="47">
                  <c:v>6.2642981488739216E-2</c:v>
                </c:pt>
                <c:pt idx="48">
                  <c:v>4.9107015137301785E-2</c:v>
                </c:pt>
                <c:pt idx="49">
                  <c:v>5.9339741066327362E-2</c:v>
                </c:pt>
                <c:pt idx="50">
                  <c:v>6.2724345609381782E-2</c:v>
                </c:pt>
                <c:pt idx="51">
                  <c:v>2.8719359275139553E-2</c:v>
                </c:pt>
                <c:pt idx="52">
                  <c:v>0.13477547261155523</c:v>
                </c:pt>
                <c:pt idx="53">
                  <c:v>5.1655604304946187E-2</c:v>
                </c:pt>
                <c:pt idx="54">
                  <c:v>7.6971158139119561E-2</c:v>
                </c:pt>
                <c:pt idx="55">
                  <c:v>5.3572895839609981E-2</c:v>
                </c:pt>
                <c:pt idx="56">
                  <c:v>2.7732978523237372E-2</c:v>
                </c:pt>
                <c:pt idx="57">
                  <c:v>6.6563467492260067E-2</c:v>
                </c:pt>
                <c:pt idx="58">
                  <c:v>4.7989080982711554E-2</c:v>
                </c:pt>
                <c:pt idx="59">
                  <c:v>5.9145474186682145E-2</c:v>
                </c:pt>
                <c:pt idx="60">
                  <c:v>6.6963460064995109E-2</c:v>
                </c:pt>
                <c:pt idx="61">
                  <c:v>8.4248079034028533E-2</c:v>
                </c:pt>
                <c:pt idx="62">
                  <c:v>0.10716290315616769</c:v>
                </c:pt>
                <c:pt idx="63">
                  <c:v>5.5763427881713942E-2</c:v>
                </c:pt>
                <c:pt idx="64">
                  <c:v>7.2145916408211497E-2</c:v>
                </c:pt>
                <c:pt idx="65">
                  <c:v>5.0078884421599065E-2</c:v>
                </c:pt>
                <c:pt idx="66">
                  <c:v>2.4493999641769657E-2</c:v>
                </c:pt>
                <c:pt idx="67">
                  <c:v>6.4456035767511174E-2</c:v>
                </c:pt>
                <c:pt idx="68">
                  <c:v>4.6564408767573992E-2</c:v>
                </c:pt>
                <c:pt idx="69">
                  <c:v>5.7025776119129942E-2</c:v>
                </c:pt>
                <c:pt idx="70">
                  <c:v>6.5632289793917067E-2</c:v>
                </c:pt>
                <c:pt idx="71">
                  <c:v>7.3338880304290976E-2</c:v>
                </c:pt>
                <c:pt idx="72">
                  <c:v>0.10158379546949901</c:v>
                </c:pt>
                <c:pt idx="73">
                  <c:v>5.6063159762263816E-2</c:v>
                </c:pt>
                <c:pt idx="74">
                  <c:v>7.3269427202011475E-2</c:v>
                </c:pt>
                <c:pt idx="75">
                  <c:v>5.2550787570355827E-2</c:v>
                </c:pt>
                <c:pt idx="76">
                  <c:v>2.400283428301497E-2</c:v>
                </c:pt>
                <c:pt idx="77">
                  <c:v>6.8434517366919217E-2</c:v>
                </c:pt>
                <c:pt idx="78">
                  <c:v>4.8996819937715208E-2</c:v>
                </c:pt>
                <c:pt idx="79">
                  <c:v>5.6779216949686101E-2</c:v>
                </c:pt>
                <c:pt idx="80">
                  <c:v>5.332326740147969E-2</c:v>
                </c:pt>
                <c:pt idx="81">
                  <c:v>0.13357275254865617</c:v>
                </c:pt>
                <c:pt idx="82">
                  <c:v>0.16180457651013991</c:v>
                </c:pt>
                <c:pt idx="83">
                  <c:v>3.7282661976298259E-2</c:v>
                </c:pt>
                <c:pt idx="84">
                  <c:v>8.1234239084237672E-2</c:v>
                </c:pt>
                <c:pt idx="85">
                  <c:v>5.9938951068356304E-2</c:v>
                </c:pt>
                <c:pt idx="86">
                  <c:v>3.2098787164005702E-2</c:v>
                </c:pt>
                <c:pt idx="87">
                  <c:v>7.6743357224884179E-2</c:v>
                </c:pt>
                <c:pt idx="88">
                  <c:v>5.6374636179920945E-2</c:v>
                </c:pt>
                <c:pt idx="89">
                  <c:v>6.1372683836197657E-2</c:v>
                </c:pt>
                <c:pt idx="90">
                  <c:v>6.4230914375245737E-2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B2-464B-955C-8D23F85E5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13515648"/>
        <c:axId val="1013519808"/>
      </c:barChart>
      <c:catAx>
        <c:axId val="10135156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519808"/>
        <c:crosses val="autoZero"/>
        <c:auto val="1"/>
        <c:lblAlgn val="ctr"/>
        <c:lblOffset val="100"/>
        <c:noMultiLvlLbl val="0"/>
      </c:catAx>
      <c:valAx>
        <c:axId val="101351980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51564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62</xdr:row>
      <xdr:rowOff>107950</xdr:rowOff>
    </xdr:from>
    <xdr:to>
      <xdr:col>8</xdr:col>
      <xdr:colOff>158750</xdr:colOff>
      <xdr:row>82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975417-F4AA-8919-2F1C-402574BE0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62</xdr:row>
      <xdr:rowOff>107950</xdr:rowOff>
    </xdr:from>
    <xdr:to>
      <xdr:col>20</xdr:col>
      <xdr:colOff>114300</xdr:colOff>
      <xdr:row>82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59F771-7883-FF75-95A2-C71B2CFB4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50800</xdr:colOff>
      <xdr:row>83</xdr:row>
      <xdr:rowOff>196850</xdr:rowOff>
    </xdr:from>
    <xdr:to>
      <xdr:col>8</xdr:col>
      <xdr:colOff>152400</xdr:colOff>
      <xdr:row>117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71D860-B2F0-BA85-F870-51F1880BE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241300</xdr:colOff>
      <xdr:row>83</xdr:row>
      <xdr:rowOff>184150</xdr:rowOff>
    </xdr:from>
    <xdr:to>
      <xdr:col>20</xdr:col>
      <xdr:colOff>88900</xdr:colOff>
      <xdr:row>117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0F4154-58C5-0E3E-F354-F1404C78D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228600</xdr:colOff>
      <xdr:row>62</xdr:row>
      <xdr:rowOff>88900</xdr:rowOff>
    </xdr:from>
    <xdr:to>
      <xdr:col>32</xdr:col>
      <xdr:colOff>76200</xdr:colOff>
      <xdr:row>82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31BB4D3-0312-0B47-26C5-44787B19E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203200</xdr:colOff>
      <xdr:row>83</xdr:row>
      <xdr:rowOff>165100</xdr:rowOff>
    </xdr:from>
    <xdr:to>
      <xdr:col>32</xdr:col>
      <xdr:colOff>50800</xdr:colOff>
      <xdr:row>117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C41C78B-A272-92A4-52B9-20ADA67C7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165100</xdr:colOff>
      <xdr:row>62</xdr:row>
      <xdr:rowOff>101600</xdr:rowOff>
    </xdr:from>
    <xdr:to>
      <xdr:col>36</xdr:col>
      <xdr:colOff>431800</xdr:colOff>
      <xdr:row>82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3D5B262-5603-FE76-20F6-6F88FB476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114300</xdr:colOff>
      <xdr:row>83</xdr:row>
      <xdr:rowOff>152400</xdr:rowOff>
    </xdr:from>
    <xdr:to>
      <xdr:col>36</xdr:col>
      <xdr:colOff>381000</xdr:colOff>
      <xdr:row>117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7F11ED5-8AC0-CBD5-9F5B-C8EBEF8A0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508000</xdr:colOff>
      <xdr:row>62</xdr:row>
      <xdr:rowOff>63500</xdr:rowOff>
    </xdr:from>
    <xdr:to>
      <xdr:col>40</xdr:col>
      <xdr:colOff>355600</xdr:colOff>
      <xdr:row>82</xdr:row>
      <xdr:rowOff>114300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616C392-1CF6-B4E5-B400-43C447633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482600</xdr:colOff>
      <xdr:row>83</xdr:row>
      <xdr:rowOff>152400</xdr:rowOff>
    </xdr:from>
    <xdr:to>
      <xdr:col>40</xdr:col>
      <xdr:colOff>330200</xdr:colOff>
      <xdr:row>117</xdr:row>
      <xdr:rowOff>101600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7084771-F802-B439-223D-2FD4A47D5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2</xdr:col>
      <xdr:colOff>516466</xdr:colOff>
      <xdr:row>32</xdr:row>
      <xdr:rowOff>110064</xdr:rowOff>
    </xdr:from>
    <xdr:ext cx="8839199" cy="322319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E8E0EF0-424E-471D-9FB7-EED696180FAF}"/>
            </a:ext>
          </a:extLst>
        </xdr:cNvPr>
        <xdr:cNvSpPr/>
      </xdr:nvSpPr>
      <xdr:spPr>
        <a:xfrm rot="19478044">
          <a:off x="1062566" y="7323664"/>
          <a:ext cx="8839199" cy="3223190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0" b="1" cap="none" spc="0">
              <a:ln w="22225">
                <a:noFill/>
                <a:prstDash val="solid"/>
              </a:ln>
              <a:solidFill>
                <a:schemeClr val="accent2">
                  <a:lumMod val="20000"/>
                  <a:lumOff val="80000"/>
                  <a:alpha val="31000"/>
                </a:schemeClr>
              </a:solidFill>
              <a:effectLst/>
            </a:rPr>
            <a:t>DRAFT</a:t>
          </a:r>
        </a:p>
      </xdr:txBody>
    </xdr:sp>
    <xdr:clientData/>
  </xdr:oneCellAnchor>
  <xdr:oneCellAnchor>
    <xdr:from>
      <xdr:col>0</xdr:col>
      <xdr:colOff>141246</xdr:colOff>
      <xdr:row>6</xdr:row>
      <xdr:rowOff>85966</xdr:rowOff>
    </xdr:from>
    <xdr:ext cx="5633045" cy="2283959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C8CD980-82FF-A546-90DD-BDA78DF9ED0D}"/>
            </a:ext>
          </a:extLst>
        </xdr:cNvPr>
        <xdr:cNvSpPr/>
      </xdr:nvSpPr>
      <xdr:spPr>
        <a:xfrm rot="19478044">
          <a:off x="141246" y="1419466"/>
          <a:ext cx="5633045" cy="2283959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0" b="1" cap="none" spc="0">
              <a:ln w="22225">
                <a:noFill/>
                <a:prstDash val="solid"/>
              </a:ln>
              <a:solidFill>
                <a:schemeClr val="accent2">
                  <a:lumMod val="20000"/>
                  <a:lumOff val="80000"/>
                  <a:alpha val="31000"/>
                </a:schemeClr>
              </a:solidFill>
              <a:effectLst/>
            </a:rPr>
            <a:t>DRAFT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62</xdr:row>
      <xdr:rowOff>107950</xdr:rowOff>
    </xdr:from>
    <xdr:to>
      <xdr:col>5</xdr:col>
      <xdr:colOff>158750</xdr:colOff>
      <xdr:row>82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63141-B534-654C-85DD-5A2943E8B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266700</xdr:colOff>
      <xdr:row>62</xdr:row>
      <xdr:rowOff>107950</xdr:rowOff>
    </xdr:from>
    <xdr:to>
      <xdr:col>11</xdr:col>
      <xdr:colOff>114300</xdr:colOff>
      <xdr:row>82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A3395B-F21D-9749-8573-5EAA0D7A9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50800</xdr:colOff>
      <xdr:row>83</xdr:row>
      <xdr:rowOff>196850</xdr:rowOff>
    </xdr:from>
    <xdr:to>
      <xdr:col>5</xdr:col>
      <xdr:colOff>152400</xdr:colOff>
      <xdr:row>117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CFFF50-085A-F74B-BBA7-C089D9DAE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241300</xdr:colOff>
      <xdr:row>83</xdr:row>
      <xdr:rowOff>184150</xdr:rowOff>
    </xdr:from>
    <xdr:to>
      <xdr:col>11</xdr:col>
      <xdr:colOff>88900</xdr:colOff>
      <xdr:row>117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7255C9-3C63-B242-9371-73AAE26DA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228600</xdr:colOff>
      <xdr:row>62</xdr:row>
      <xdr:rowOff>88900</xdr:rowOff>
    </xdr:from>
    <xdr:to>
      <xdr:col>17</xdr:col>
      <xdr:colOff>76200</xdr:colOff>
      <xdr:row>82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7323DC-70DF-AB4E-9405-2B2B39194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203200</xdr:colOff>
      <xdr:row>83</xdr:row>
      <xdr:rowOff>165100</xdr:rowOff>
    </xdr:from>
    <xdr:to>
      <xdr:col>17</xdr:col>
      <xdr:colOff>50800</xdr:colOff>
      <xdr:row>117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A0EB53-7EAD-DF43-BAA8-7DA6A69D5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165100</xdr:colOff>
      <xdr:row>62</xdr:row>
      <xdr:rowOff>101600</xdr:rowOff>
    </xdr:from>
    <xdr:to>
      <xdr:col>21</xdr:col>
      <xdr:colOff>431800</xdr:colOff>
      <xdr:row>82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E6649B6-2CA6-B24E-907E-8D91F4841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114300</xdr:colOff>
      <xdr:row>83</xdr:row>
      <xdr:rowOff>152400</xdr:rowOff>
    </xdr:from>
    <xdr:to>
      <xdr:col>21</xdr:col>
      <xdr:colOff>381000</xdr:colOff>
      <xdr:row>117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8150EEC-F344-4543-AC37-842C8D1EF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533400</xdr:colOff>
      <xdr:row>62</xdr:row>
      <xdr:rowOff>101600</xdr:rowOff>
    </xdr:from>
    <xdr:to>
      <xdr:col>25</xdr:col>
      <xdr:colOff>381000</xdr:colOff>
      <xdr:row>82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616875-D0F5-B64B-8EBB-160F9E31A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495300</xdr:colOff>
      <xdr:row>83</xdr:row>
      <xdr:rowOff>152400</xdr:rowOff>
    </xdr:from>
    <xdr:to>
      <xdr:col>25</xdr:col>
      <xdr:colOff>342900</xdr:colOff>
      <xdr:row>117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05F0977-7CA8-FA47-9606-1F51A8580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2</xdr:col>
      <xdr:colOff>1270001</xdr:colOff>
      <xdr:row>32</xdr:row>
      <xdr:rowOff>148165</xdr:rowOff>
    </xdr:from>
    <xdr:ext cx="8839199" cy="322319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FA9646C-254D-B34C-A855-DE4FDDC3216B}"/>
            </a:ext>
          </a:extLst>
        </xdr:cNvPr>
        <xdr:cNvSpPr/>
      </xdr:nvSpPr>
      <xdr:spPr>
        <a:xfrm rot="19478044">
          <a:off x="1816101" y="7361765"/>
          <a:ext cx="8839199" cy="3223190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0" b="1" cap="none" spc="0">
              <a:ln w="22225">
                <a:noFill/>
                <a:prstDash val="solid"/>
              </a:ln>
              <a:solidFill>
                <a:schemeClr val="accent2">
                  <a:lumMod val="20000"/>
                  <a:lumOff val="80000"/>
                  <a:alpha val="30000"/>
                </a:schemeClr>
              </a:solidFill>
              <a:effectLst/>
            </a:rPr>
            <a:t>DRAFT</a:t>
          </a:r>
        </a:p>
      </xdr:txBody>
    </xdr:sp>
    <xdr:clientData/>
  </xdr:oneCellAnchor>
  <xdr:oneCellAnchor>
    <xdr:from>
      <xdr:col>3</xdr:col>
      <xdr:colOff>571501</xdr:colOff>
      <xdr:row>6</xdr:row>
      <xdr:rowOff>85966</xdr:rowOff>
    </xdr:from>
    <xdr:ext cx="5633045" cy="2283959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1316E33-2769-4243-84E2-D71DB028305A}"/>
            </a:ext>
          </a:extLst>
        </xdr:cNvPr>
        <xdr:cNvSpPr/>
      </xdr:nvSpPr>
      <xdr:spPr>
        <a:xfrm rot="19478044">
          <a:off x="3386668" y="1419466"/>
          <a:ext cx="5633045" cy="2283959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0" b="1" cap="none" spc="0">
              <a:ln w="22225">
                <a:noFill/>
                <a:prstDash val="solid"/>
              </a:ln>
              <a:solidFill>
                <a:schemeClr val="accent2">
                  <a:lumMod val="20000"/>
                  <a:lumOff val="80000"/>
                  <a:alpha val="31000"/>
                </a:schemeClr>
              </a:solidFill>
              <a:effectLst/>
            </a:rPr>
            <a:t>DRAFT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</xdr:colOff>
      <xdr:row>5</xdr:row>
      <xdr:rowOff>166686</xdr:rowOff>
    </xdr:from>
    <xdr:to>
      <xdr:col>17</xdr:col>
      <xdr:colOff>180975</xdr:colOff>
      <xdr:row>20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8CF45F-2993-A158-5ABB-81ECD96F8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117247</xdr:colOff>
      <xdr:row>83</xdr:row>
      <xdr:rowOff>123826</xdr:rowOff>
    </xdr:from>
    <xdr:ext cx="8839199" cy="322319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FFA67BD-31DD-4042-8371-2B1D616A87BC}"/>
            </a:ext>
          </a:extLst>
        </xdr:cNvPr>
        <xdr:cNvSpPr/>
      </xdr:nvSpPr>
      <xdr:spPr>
        <a:xfrm rot="19478044">
          <a:off x="117247" y="7273926"/>
          <a:ext cx="8839199" cy="3223190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0" b="1" cap="none" spc="0">
              <a:ln w="22225">
                <a:noFill/>
                <a:prstDash val="solid"/>
              </a:ln>
              <a:solidFill>
                <a:schemeClr val="accent2">
                  <a:lumMod val="20000"/>
                  <a:lumOff val="80000"/>
                  <a:alpha val="31000"/>
                </a:schemeClr>
              </a:solidFill>
              <a:effectLst/>
            </a:rPr>
            <a:t>DRAFT</a:t>
          </a:r>
        </a:p>
      </xdr:txBody>
    </xdr:sp>
    <xdr:clientData/>
  </xdr:oneCellAnchor>
  <xdr:oneCellAnchor>
    <xdr:from>
      <xdr:col>2</xdr:col>
      <xdr:colOff>2079397</xdr:colOff>
      <xdr:row>6</xdr:row>
      <xdr:rowOff>28816</xdr:rowOff>
    </xdr:from>
    <xdr:ext cx="5633045" cy="2283959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5EF09D2-EB59-4792-B75A-E5C433999552}"/>
            </a:ext>
          </a:extLst>
        </xdr:cNvPr>
        <xdr:cNvSpPr/>
      </xdr:nvSpPr>
      <xdr:spPr>
        <a:xfrm rot="19478044">
          <a:off x="2317522" y="1419466"/>
          <a:ext cx="5633045" cy="2283959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0" b="1" cap="none" spc="0">
              <a:ln w="22225">
                <a:noFill/>
                <a:prstDash val="solid"/>
              </a:ln>
              <a:solidFill>
                <a:schemeClr val="accent2">
                  <a:lumMod val="20000"/>
                  <a:lumOff val="80000"/>
                  <a:alpha val="31000"/>
                </a:schemeClr>
              </a:solidFill>
              <a:effectLst/>
            </a:rPr>
            <a:t>DRAFT</a:t>
          </a:r>
        </a:p>
      </xdr:txBody>
    </xdr:sp>
    <xdr:clientData/>
  </xdr:oneCellAnchor>
  <xdr:twoCellAnchor>
    <xdr:from>
      <xdr:col>10</xdr:col>
      <xdr:colOff>0</xdr:colOff>
      <xdr:row>84</xdr:row>
      <xdr:rowOff>0</xdr:rowOff>
    </xdr:from>
    <xdr:to>
      <xdr:col>17</xdr:col>
      <xdr:colOff>128588</xdr:colOff>
      <xdr:row>117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5075E7-4C1F-4282-B7D5-0A332CB2B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85724</xdr:colOff>
      <xdr:row>4</xdr:row>
      <xdr:rowOff>176212</xdr:rowOff>
    </xdr:from>
    <xdr:to>
      <xdr:col>20</xdr:col>
      <xdr:colOff>838199</xdr:colOff>
      <xdr:row>18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B3759C-EFCD-C9B2-D58D-195F3BAC3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53</xdr:row>
      <xdr:rowOff>0</xdr:rowOff>
    </xdr:from>
    <xdr:to>
      <xdr:col>20</xdr:col>
      <xdr:colOff>752475</xdr:colOff>
      <xdr:row>86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734FCE-AC0C-42AB-AEB7-4497ADB8E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</xdr:col>
      <xdr:colOff>828674</xdr:colOff>
      <xdr:row>6</xdr:row>
      <xdr:rowOff>105016</xdr:rowOff>
    </xdr:from>
    <xdr:ext cx="5633045" cy="228395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CCD83C8-BA95-4D61-A0A0-956AD72CF950}"/>
            </a:ext>
          </a:extLst>
        </xdr:cNvPr>
        <xdr:cNvSpPr/>
      </xdr:nvSpPr>
      <xdr:spPr>
        <a:xfrm rot="19478044">
          <a:off x="3324224" y="1419466"/>
          <a:ext cx="5633045" cy="2283959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0" b="1" cap="none" spc="0">
              <a:ln w="22225">
                <a:noFill/>
                <a:prstDash val="solid"/>
              </a:ln>
              <a:solidFill>
                <a:schemeClr val="accent2">
                  <a:lumMod val="20000"/>
                  <a:lumOff val="80000"/>
                  <a:alpha val="31000"/>
                </a:schemeClr>
              </a:solidFill>
              <a:effectLst/>
            </a:rPr>
            <a:t>DRAFT</a:t>
          </a:r>
        </a:p>
      </xdr:txBody>
    </xdr:sp>
    <xdr:clientData/>
  </xdr:oneCellAnchor>
  <xdr:oneCellAnchor>
    <xdr:from>
      <xdr:col>2</xdr:col>
      <xdr:colOff>1866900</xdr:colOff>
      <xdr:row>63</xdr:row>
      <xdr:rowOff>6590</xdr:rowOff>
    </xdr:from>
    <xdr:ext cx="8839199" cy="3223190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C2ACEB6-3C5F-455D-9064-262FF5451C15}"/>
            </a:ext>
          </a:extLst>
        </xdr:cNvPr>
        <xdr:cNvSpPr/>
      </xdr:nvSpPr>
      <xdr:spPr>
        <a:xfrm rot="19478044">
          <a:off x="2171700" y="7029690"/>
          <a:ext cx="8839199" cy="3223190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0" b="1" cap="none" spc="0">
              <a:ln w="22225">
                <a:noFill/>
                <a:prstDash val="solid"/>
              </a:ln>
              <a:solidFill>
                <a:schemeClr val="accent2">
                  <a:lumMod val="20000"/>
                  <a:lumOff val="80000"/>
                  <a:alpha val="31000"/>
                </a:schemeClr>
              </a:solidFill>
              <a:effectLst/>
            </a:rPr>
            <a:t>DRAFT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552450</xdr:colOff>
      <xdr:row>16</xdr:row>
      <xdr:rowOff>28575</xdr:rowOff>
    </xdr:from>
    <xdr:ext cx="5633045" cy="228395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6257990-9308-43AE-9EEF-EACC3DAA9135}"/>
            </a:ext>
          </a:extLst>
        </xdr:cNvPr>
        <xdr:cNvSpPr/>
      </xdr:nvSpPr>
      <xdr:spPr>
        <a:xfrm rot="19478044">
          <a:off x="6391275" y="3733800"/>
          <a:ext cx="5633045" cy="2283959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0" b="1" cap="none" spc="0">
              <a:ln w="22225">
                <a:noFill/>
                <a:prstDash val="solid"/>
              </a:ln>
              <a:solidFill>
                <a:schemeClr val="accent2">
                  <a:lumMod val="20000"/>
                  <a:lumOff val="80000"/>
                  <a:alpha val="31000"/>
                </a:schemeClr>
              </a:solidFill>
              <a:effectLst/>
            </a:rPr>
            <a:t>DRAFT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619125</xdr:colOff>
      <xdr:row>7</xdr:row>
      <xdr:rowOff>161924</xdr:rowOff>
    </xdr:from>
    <xdr:to>
      <xdr:col>19</xdr:col>
      <xdr:colOff>447675</xdr:colOff>
      <xdr:row>104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78B49F-3685-72B7-3665-409A1CDD6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714375</xdr:colOff>
      <xdr:row>16</xdr:row>
      <xdr:rowOff>47625</xdr:rowOff>
    </xdr:from>
    <xdr:ext cx="5633045" cy="228395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B381347-3E4D-4172-A55A-9FB2FD51FFE8}"/>
            </a:ext>
          </a:extLst>
        </xdr:cNvPr>
        <xdr:cNvSpPr/>
      </xdr:nvSpPr>
      <xdr:spPr>
        <a:xfrm rot="19478044">
          <a:off x="1676400" y="3562350"/>
          <a:ext cx="5633045" cy="2283959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0" b="1" cap="none" spc="0">
              <a:ln w="22225">
                <a:noFill/>
                <a:prstDash val="solid"/>
              </a:ln>
              <a:solidFill>
                <a:schemeClr val="accent2">
                  <a:lumMod val="20000"/>
                  <a:lumOff val="80000"/>
                  <a:alpha val="31000"/>
                </a:schemeClr>
              </a:solidFill>
              <a:effectLst/>
            </a:rPr>
            <a:t>DRAFT</a:t>
          </a:r>
        </a:p>
      </xdr:txBody>
    </xdr:sp>
    <xdr:clientData/>
  </xdr:oneCellAnchor>
  <xdr:oneCellAnchor>
    <xdr:from>
      <xdr:col>3</xdr:col>
      <xdr:colOff>590551</xdr:colOff>
      <xdr:row>55</xdr:row>
      <xdr:rowOff>0</xdr:rowOff>
    </xdr:from>
    <xdr:ext cx="5633045" cy="228395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053CCAF-A65B-40F7-951D-64C73723650C}"/>
            </a:ext>
          </a:extLst>
        </xdr:cNvPr>
        <xdr:cNvSpPr/>
      </xdr:nvSpPr>
      <xdr:spPr>
        <a:xfrm rot="19478044">
          <a:off x="2390776" y="11315700"/>
          <a:ext cx="5633045" cy="2283959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0" b="1" cap="none" spc="0">
              <a:ln w="22225">
                <a:noFill/>
                <a:prstDash val="solid"/>
              </a:ln>
              <a:solidFill>
                <a:schemeClr val="accent2">
                  <a:lumMod val="20000"/>
                  <a:lumOff val="80000"/>
                  <a:alpha val="31000"/>
                </a:schemeClr>
              </a:solidFill>
              <a:effectLst/>
            </a:rPr>
            <a:t>DRAFT</a:t>
          </a:r>
        </a:p>
      </xdr:txBody>
    </xdr:sp>
    <xdr:clientData/>
  </xdr:oneCellAnchor>
  <xdr:oneCellAnchor>
    <xdr:from>
      <xdr:col>2</xdr:col>
      <xdr:colOff>714375</xdr:colOff>
      <xdr:row>118</xdr:row>
      <xdr:rowOff>47625</xdr:rowOff>
    </xdr:from>
    <xdr:ext cx="5633045" cy="2283959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D6E6757-7359-4A1A-8B6F-DC23C75E50B0}"/>
            </a:ext>
          </a:extLst>
        </xdr:cNvPr>
        <xdr:cNvSpPr/>
      </xdr:nvSpPr>
      <xdr:spPr>
        <a:xfrm rot="19478044">
          <a:off x="1676400" y="3562350"/>
          <a:ext cx="5633045" cy="2283959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0" b="1" cap="none" spc="0">
              <a:ln w="22225">
                <a:noFill/>
                <a:prstDash val="solid"/>
              </a:ln>
              <a:solidFill>
                <a:schemeClr val="accent2">
                  <a:lumMod val="20000"/>
                  <a:lumOff val="80000"/>
                  <a:alpha val="31000"/>
                </a:schemeClr>
              </a:solidFill>
              <a:effectLst/>
            </a:rPr>
            <a:t>DRAFT</a:t>
          </a:r>
        </a:p>
      </xdr:txBody>
    </xdr:sp>
    <xdr:clientData/>
  </xdr:oneCellAnchor>
  <xdr:oneCellAnchor>
    <xdr:from>
      <xdr:col>3</xdr:col>
      <xdr:colOff>590551</xdr:colOff>
      <xdr:row>157</xdr:row>
      <xdr:rowOff>0</xdr:rowOff>
    </xdr:from>
    <xdr:ext cx="5633045" cy="2283959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DB76C28-8407-41E8-9DB3-E782C55D3608}"/>
            </a:ext>
          </a:extLst>
        </xdr:cNvPr>
        <xdr:cNvSpPr/>
      </xdr:nvSpPr>
      <xdr:spPr>
        <a:xfrm rot="19478044">
          <a:off x="2390776" y="11315700"/>
          <a:ext cx="5633045" cy="2283959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0" b="1" cap="none" spc="0">
              <a:ln w="22225">
                <a:noFill/>
                <a:prstDash val="solid"/>
              </a:ln>
              <a:solidFill>
                <a:schemeClr val="accent2">
                  <a:lumMod val="20000"/>
                  <a:lumOff val="80000"/>
                  <a:alpha val="31000"/>
                </a:schemeClr>
              </a:solidFill>
              <a:effectLst/>
            </a:rPr>
            <a:t>DRAFT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847725</xdr:colOff>
      <xdr:row>133</xdr:row>
      <xdr:rowOff>123825</xdr:rowOff>
    </xdr:from>
    <xdr:ext cx="5633045" cy="228395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585CC03-C44E-4CD3-B54B-D5E4593FEAA5}"/>
            </a:ext>
          </a:extLst>
        </xdr:cNvPr>
        <xdr:cNvSpPr/>
      </xdr:nvSpPr>
      <xdr:spPr>
        <a:xfrm rot="19478044">
          <a:off x="1828800" y="11239500"/>
          <a:ext cx="5633045" cy="2283959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0" b="1" cap="none" spc="0">
              <a:ln w="22225">
                <a:noFill/>
                <a:prstDash val="solid"/>
              </a:ln>
              <a:solidFill>
                <a:schemeClr val="accent2">
                  <a:lumMod val="20000"/>
                  <a:lumOff val="80000"/>
                  <a:alpha val="31000"/>
                </a:schemeClr>
              </a:solidFill>
              <a:effectLst/>
            </a:rPr>
            <a:t>DRAFT</a:t>
          </a:r>
        </a:p>
      </xdr:txBody>
    </xdr:sp>
    <xdr:clientData/>
  </xdr:oneCellAnchor>
  <xdr:oneCellAnchor>
    <xdr:from>
      <xdr:col>2</xdr:col>
      <xdr:colOff>809625</xdr:colOff>
      <xdr:row>82</xdr:row>
      <xdr:rowOff>28575</xdr:rowOff>
    </xdr:from>
    <xdr:ext cx="5633045" cy="228395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4FAFB19-8F6C-48C9-A9B8-E124C8E7308D}"/>
            </a:ext>
          </a:extLst>
        </xdr:cNvPr>
        <xdr:cNvSpPr/>
      </xdr:nvSpPr>
      <xdr:spPr>
        <a:xfrm rot="19478044">
          <a:off x="1790700" y="7038975"/>
          <a:ext cx="5633045" cy="2283959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0" b="1" cap="none" spc="0">
              <a:ln w="22225">
                <a:noFill/>
                <a:prstDash val="solid"/>
              </a:ln>
              <a:solidFill>
                <a:schemeClr val="accent2">
                  <a:lumMod val="20000"/>
                  <a:lumOff val="80000"/>
                  <a:alpha val="31000"/>
                </a:schemeClr>
              </a:solidFill>
              <a:effectLst/>
            </a:rPr>
            <a:t>DRAFT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bayarea.org/sites/default/files/FinalBlueprintRelease_December2020_GrowthPattern_Jan2021Update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planbayarea.org/sites/default/files/FinalBlueprintRelease_December2020_GrowthPattern_Jan2021Update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planbayarea.org/sites/default/files/documents/Plan_Bay_Area_2050_Forecasting_Modeling_Report_October_2021.pd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A8BA-25CC-8F4D-BD78-9210ABC34700}">
  <dimension ref="B2:AL60"/>
  <sheetViews>
    <sheetView zoomScaleNormal="100" workbookViewId="0">
      <selection activeCell="P14" sqref="P14"/>
    </sheetView>
  </sheetViews>
  <sheetFormatPr defaultColWidth="11" defaultRowHeight="15.75"/>
  <cols>
    <col min="1" max="1" width="3" customWidth="1"/>
    <col min="2" max="2" width="4.125" style="61" customWidth="1"/>
    <col min="3" max="3" width="29.625" customWidth="1"/>
    <col min="5" max="6" width="12.5" hidden="1" customWidth="1"/>
    <col min="7" max="7" width="11" hidden="1" customWidth="1"/>
    <col min="8" max="8" width="10.375" hidden="1" customWidth="1"/>
    <col min="11" max="14" width="11" hidden="1" customWidth="1"/>
    <col min="17" max="20" width="11" hidden="1" customWidth="1"/>
    <col min="23" max="26" width="11" hidden="1" customWidth="1"/>
    <col min="29" max="32" width="11" hidden="1" customWidth="1"/>
    <col min="34" max="34" width="5.5" customWidth="1"/>
  </cols>
  <sheetData>
    <row r="2" spans="2:33" ht="18.75">
      <c r="C2" s="1" t="s">
        <v>0</v>
      </c>
    </row>
    <row r="3" spans="2:33" ht="18.75">
      <c r="C3" s="1" t="s">
        <v>1</v>
      </c>
    </row>
    <row r="4" spans="2:33" ht="18.75">
      <c r="C4" s="1" t="s">
        <v>2</v>
      </c>
    </row>
    <row r="5" spans="2:33">
      <c r="C5" s="183" t="s">
        <v>3</v>
      </c>
      <c r="D5" s="63" t="s">
        <v>4</v>
      </c>
    </row>
    <row r="8" spans="2:33" ht="30.75" customHeight="1">
      <c r="C8" s="232" t="s">
        <v>5</v>
      </c>
      <c r="D8" s="237" t="s">
        <v>6</v>
      </c>
      <c r="E8" s="237"/>
      <c r="F8" s="237"/>
      <c r="G8" s="237"/>
      <c r="H8" s="237"/>
      <c r="I8" s="237"/>
      <c r="J8" s="238" t="s">
        <v>7</v>
      </c>
      <c r="K8" s="238"/>
      <c r="L8" s="238"/>
      <c r="M8" s="238"/>
      <c r="N8" s="238"/>
      <c r="O8" s="238"/>
      <c r="P8" s="235" t="s">
        <v>8</v>
      </c>
      <c r="Q8" s="235"/>
      <c r="R8" s="235"/>
      <c r="S8" s="235"/>
      <c r="T8" s="235"/>
      <c r="U8" s="235"/>
      <c r="V8" s="236" t="s">
        <v>9</v>
      </c>
      <c r="W8" s="236"/>
      <c r="X8" s="236"/>
      <c r="Y8" s="236"/>
      <c r="Z8" s="236"/>
      <c r="AA8" s="236"/>
      <c r="AB8" s="235" t="s">
        <v>10</v>
      </c>
      <c r="AC8" s="235"/>
      <c r="AD8" s="235"/>
      <c r="AE8" s="235"/>
      <c r="AF8" s="235"/>
      <c r="AG8" s="235"/>
    </row>
    <row r="9" spans="2:33" ht="16.5" thickBot="1">
      <c r="C9" s="233"/>
      <c r="D9" s="2" t="s">
        <v>11</v>
      </c>
      <c r="E9" s="2" t="s">
        <v>12</v>
      </c>
      <c r="F9" s="2" t="s">
        <v>13</v>
      </c>
      <c r="G9" s="2" t="s">
        <v>14</v>
      </c>
      <c r="H9" s="33" t="s">
        <v>15</v>
      </c>
      <c r="I9" s="2" t="s">
        <v>16</v>
      </c>
      <c r="J9" s="10" t="s">
        <v>11</v>
      </c>
      <c r="K9" s="7" t="s">
        <v>12</v>
      </c>
      <c r="L9" s="7" t="s">
        <v>13</v>
      </c>
      <c r="M9" s="10" t="s">
        <v>14</v>
      </c>
      <c r="N9" s="38" t="s">
        <v>15</v>
      </c>
      <c r="O9" s="10" t="s">
        <v>16</v>
      </c>
      <c r="P9" s="2" t="s">
        <v>11</v>
      </c>
      <c r="Q9" s="2" t="s">
        <v>12</v>
      </c>
      <c r="R9" s="2" t="s">
        <v>13</v>
      </c>
      <c r="S9" s="2" t="s">
        <v>14</v>
      </c>
      <c r="T9" s="33" t="s">
        <v>15</v>
      </c>
      <c r="U9" s="2" t="s">
        <v>16</v>
      </c>
      <c r="V9" s="10" t="s">
        <v>11</v>
      </c>
      <c r="W9" s="7" t="s">
        <v>12</v>
      </c>
      <c r="X9" s="7" t="s">
        <v>13</v>
      </c>
      <c r="Y9" s="10" t="s">
        <v>14</v>
      </c>
      <c r="Z9" s="38" t="s">
        <v>15</v>
      </c>
      <c r="AA9" s="10" t="s">
        <v>16</v>
      </c>
      <c r="AB9" s="2" t="s">
        <v>11</v>
      </c>
      <c r="AC9" s="2" t="s">
        <v>12</v>
      </c>
      <c r="AD9" s="2" t="s">
        <v>13</v>
      </c>
      <c r="AE9" s="2" t="s">
        <v>14</v>
      </c>
      <c r="AF9" s="33" t="s">
        <v>15</v>
      </c>
      <c r="AG9" s="2" t="s">
        <v>16</v>
      </c>
    </row>
    <row r="10" spans="2:33" ht="16.5" thickTop="1">
      <c r="B10" s="61">
        <v>1</v>
      </c>
      <c r="C10" s="3" t="s">
        <v>17</v>
      </c>
      <c r="D10" s="4">
        <f t="shared" ref="D10:D18" si="0">ROUND((1-H10)*G10,-2)</f>
        <v>859200</v>
      </c>
      <c r="E10" s="4">
        <v>860066</v>
      </c>
      <c r="F10" s="4">
        <v>883655</v>
      </c>
      <c r="G10" s="4">
        <f t="shared" ref="G10:G18" si="1">AVERAGE(E10:F10)</f>
        <v>871860.5</v>
      </c>
      <c r="H10" s="34">
        <f>MAX(MAX(ABS((E10-G10)/G10),ABS((F10-G10)/G10))+0.001,0.01)</f>
        <v>1.4527966916725782E-2</v>
      </c>
      <c r="I10" s="4">
        <f>ROUND((1+H10)*G10,-2)</f>
        <v>884500</v>
      </c>
      <c r="J10" s="11">
        <f t="shared" ref="J10:J18" si="2">ROUND((1-N10)*M10,-2)</f>
        <v>353900</v>
      </c>
      <c r="K10" s="8">
        <v>354263</v>
      </c>
      <c r="L10" s="8">
        <v>365801</v>
      </c>
      <c r="M10" s="11">
        <f t="shared" ref="M10:M18" si="3">AVERAGE(K10:L10)</f>
        <v>360032</v>
      </c>
      <c r="N10" s="39">
        <f>MAX(MAX(ABS((K10-M10)/M10),ABS((L10-M10)/M10))+0.001,0.01)</f>
        <v>1.7023575682161587E-2</v>
      </c>
      <c r="O10" s="11">
        <f>ROUND((1+N10)*M10,-2)</f>
        <v>366200</v>
      </c>
      <c r="P10" s="4">
        <f t="shared" ref="P10:P18" si="4">ROUND((1-T10)*S10,-2)</f>
        <v>16100</v>
      </c>
      <c r="Q10" s="4">
        <v>16110</v>
      </c>
      <c r="R10" s="4">
        <v>39063</v>
      </c>
      <c r="S10" s="4">
        <f t="shared" ref="S10:S18" si="5">AVERAGE(Q10:R10)</f>
        <v>27586.5</v>
      </c>
      <c r="T10" s="34">
        <f>MAX(MAX(ABS((Q10-S10)/S10),ABS((R10-S10)/S10))+0.001,0.01)</f>
        <v>0.41701870480126146</v>
      </c>
      <c r="U10" s="4">
        <f>ROUND((1+T10)*S10,-2)</f>
        <v>39100</v>
      </c>
      <c r="V10" s="11">
        <f t="shared" ref="V10:V18" si="6">ROUND((1-Z10)*Y10,-2)</f>
        <v>636600</v>
      </c>
      <c r="W10" s="8">
        <v>637283</v>
      </c>
      <c r="X10" s="8">
        <v>681988</v>
      </c>
      <c r="Y10" s="11">
        <f t="shared" ref="Y10:Y18" si="7">AVERAGE(W10:X10)</f>
        <v>659635.5</v>
      </c>
      <c r="Z10" s="39">
        <f>MAX(MAX(ABS((W10-Y10)/Y10),ABS((X10-Y10)/Y10))+0.001,0.01)</f>
        <v>3.4886138632623624E-2</v>
      </c>
      <c r="AA10" s="11">
        <f>ROUND((1+Z10)*Y10,-2)</f>
        <v>682600</v>
      </c>
      <c r="AB10" s="4">
        <f t="shared" ref="AB10:AB18" si="8">ROUND((1-AF10)*AE10,-2)</f>
        <v>502600</v>
      </c>
      <c r="AC10" s="4">
        <v>505328</v>
      </c>
      <c r="AD10" s="4">
        <v>509975</v>
      </c>
      <c r="AE10" s="4">
        <f t="shared" ref="AE10:AE18" si="9">AVERAGE(AC10:AD10)</f>
        <v>507651.5</v>
      </c>
      <c r="AF10" s="34">
        <f>MAX(MAX(ABS((AC10-AE10)/AE10),ABS((AD10-AE10)/AE10))+0.001,0.01)</f>
        <v>0.01</v>
      </c>
      <c r="AG10" s="4">
        <f>ROUND((1+AF10)*AE10,-2)</f>
        <v>512700</v>
      </c>
    </row>
    <row r="11" spans="2:33">
      <c r="B11" s="61">
        <v>2</v>
      </c>
      <c r="C11" s="3" t="s">
        <v>18</v>
      </c>
      <c r="D11" s="4">
        <f t="shared" si="0"/>
        <v>758900</v>
      </c>
      <c r="E11" s="4">
        <v>759621</v>
      </c>
      <c r="F11" s="4">
        <v>773428</v>
      </c>
      <c r="G11" s="4">
        <f t="shared" si="1"/>
        <v>766524.5</v>
      </c>
      <c r="H11" s="34">
        <f t="shared" ref="H11:H18" si="10">MAX(MAX(ABS((E11-G11)/G11),ABS((F11-G11)/G11))+0.001,0.01)</f>
        <v>1.0006235286673812E-2</v>
      </c>
      <c r="I11" s="4">
        <f t="shared" ref="I11:I18" si="11">ROUND((1+H11)*G11,-2)</f>
        <v>774200</v>
      </c>
      <c r="J11" s="11">
        <f t="shared" si="2"/>
        <v>260900</v>
      </c>
      <c r="K11" s="8">
        <v>261800</v>
      </c>
      <c r="L11" s="8">
        <v>265263</v>
      </c>
      <c r="M11" s="11">
        <f t="shared" si="3"/>
        <v>263531.5</v>
      </c>
      <c r="N11" s="39">
        <f t="shared" ref="N11:N18" si="12">MAX(MAX(ABS((K11-M11)/M11),ABS((L11-M11)/M11))+0.001,0.01)</f>
        <v>0.01</v>
      </c>
      <c r="O11" s="11">
        <f t="shared" ref="O11:O18" si="13">ROUND((1+N11)*M11,-2)</f>
        <v>266200</v>
      </c>
      <c r="P11" s="4">
        <f t="shared" si="4"/>
        <v>6200</v>
      </c>
      <c r="Q11" s="4">
        <v>6193</v>
      </c>
      <c r="R11" s="4">
        <v>45136</v>
      </c>
      <c r="S11" s="4">
        <f t="shared" si="5"/>
        <v>25664.5</v>
      </c>
      <c r="T11" s="34">
        <f t="shared" ref="T11:T18" si="14">MAX(MAX(ABS((Q11-S11)/S11),ABS((R11-S11)/S11))+0.001,0.01)</f>
        <v>0.75969391572015821</v>
      </c>
      <c r="U11" s="4">
        <f t="shared" ref="U11:U18" si="15">ROUND((1+T11)*S11,-2)</f>
        <v>45200</v>
      </c>
      <c r="V11" s="11">
        <f t="shared" si="6"/>
        <v>390100</v>
      </c>
      <c r="W11" s="8">
        <v>395028</v>
      </c>
      <c r="X11" s="8">
        <v>393082</v>
      </c>
      <c r="Y11" s="11">
        <f t="shared" si="7"/>
        <v>394055</v>
      </c>
      <c r="Z11" s="39">
        <f t="shared" ref="Z11:Z18" si="16">MAX(MAX(ABS((W11-Y11)/Y11),ABS((X11-Y11)/Y11))+0.001,0.01)</f>
        <v>0.01</v>
      </c>
      <c r="AA11" s="11">
        <f t="shared" ref="AA11:AA18" si="17">ROUND((1+Z11)*Y11,-2)</f>
        <v>398000</v>
      </c>
      <c r="AB11" s="4">
        <f t="shared" si="8"/>
        <v>398800</v>
      </c>
      <c r="AC11" s="4">
        <v>405192</v>
      </c>
      <c r="AD11" s="4">
        <v>400481</v>
      </c>
      <c r="AE11" s="4">
        <f t="shared" si="9"/>
        <v>402836.5</v>
      </c>
      <c r="AF11" s="34">
        <f t="shared" ref="AF11:AF18" si="18">MAX(MAX(ABS((AC11-AE11)/AE11),ABS((AD11-AE11)/AE11))+0.001,0.01)</f>
        <v>0.01</v>
      </c>
      <c r="AG11" s="4">
        <f t="shared" ref="AG11:AG18" si="19">ROUND((1+AF11)*AE11,-2)</f>
        <v>406900</v>
      </c>
    </row>
    <row r="12" spans="2:33">
      <c r="B12" s="61">
        <v>3</v>
      </c>
      <c r="C12" s="3" t="s">
        <v>19</v>
      </c>
      <c r="D12" s="4">
        <f t="shared" si="0"/>
        <v>1889400</v>
      </c>
      <c r="E12" s="4">
        <v>1901653</v>
      </c>
      <c r="F12" s="4">
        <v>1915334</v>
      </c>
      <c r="G12" s="4">
        <f t="shared" si="1"/>
        <v>1908493.5</v>
      </c>
      <c r="H12" s="34">
        <f t="shared" si="10"/>
        <v>0.01</v>
      </c>
      <c r="I12" s="4">
        <f t="shared" si="11"/>
        <v>1927600</v>
      </c>
      <c r="J12" s="11">
        <f t="shared" si="2"/>
        <v>620200</v>
      </c>
      <c r="K12" s="8">
        <v>630308</v>
      </c>
      <c r="L12" s="8">
        <v>622568</v>
      </c>
      <c r="M12" s="11">
        <f t="shared" si="3"/>
        <v>626438</v>
      </c>
      <c r="N12" s="39">
        <f t="shared" si="12"/>
        <v>0.01</v>
      </c>
      <c r="O12" s="11">
        <f t="shared" si="13"/>
        <v>632700</v>
      </c>
      <c r="P12" s="4">
        <f t="shared" si="4"/>
        <v>25900</v>
      </c>
      <c r="Q12" s="4">
        <v>25929</v>
      </c>
      <c r="R12" s="4">
        <v>119491</v>
      </c>
      <c r="S12" s="4">
        <f t="shared" si="5"/>
        <v>72710</v>
      </c>
      <c r="T12" s="34">
        <f t="shared" si="14"/>
        <v>0.64439155549442995</v>
      </c>
      <c r="U12" s="4">
        <f t="shared" si="15"/>
        <v>119600</v>
      </c>
      <c r="V12" s="11">
        <f t="shared" si="6"/>
        <v>988700</v>
      </c>
      <c r="W12" s="8">
        <v>989775</v>
      </c>
      <c r="X12" s="8">
        <v>1099497</v>
      </c>
      <c r="Y12" s="11">
        <f t="shared" si="7"/>
        <v>1044636</v>
      </c>
      <c r="Z12" s="39">
        <f t="shared" si="16"/>
        <v>5.3516857546552103E-2</v>
      </c>
      <c r="AA12" s="11">
        <f t="shared" si="17"/>
        <v>1100500</v>
      </c>
      <c r="AB12" s="4">
        <f t="shared" si="8"/>
        <v>952400</v>
      </c>
      <c r="AC12" s="4">
        <v>967712</v>
      </c>
      <c r="AD12" s="4">
        <v>956289</v>
      </c>
      <c r="AE12" s="4">
        <f t="shared" si="9"/>
        <v>962000.5</v>
      </c>
      <c r="AF12" s="34">
        <f t="shared" si="18"/>
        <v>0.01</v>
      </c>
      <c r="AG12" s="4">
        <f t="shared" si="19"/>
        <v>971600</v>
      </c>
    </row>
    <row r="13" spans="2:33">
      <c r="B13" s="61">
        <v>4</v>
      </c>
      <c r="C13" s="3" t="s">
        <v>20</v>
      </c>
      <c r="D13" s="4">
        <f t="shared" si="0"/>
        <v>1593100</v>
      </c>
      <c r="E13" s="4">
        <v>1621425</v>
      </c>
      <c r="F13" s="4">
        <v>1597004</v>
      </c>
      <c r="G13" s="4">
        <f t="shared" si="1"/>
        <v>1609214.5</v>
      </c>
      <c r="H13" s="34">
        <f t="shared" si="10"/>
        <v>0.01</v>
      </c>
      <c r="I13" s="4">
        <f t="shared" si="11"/>
        <v>1625300</v>
      </c>
      <c r="J13" s="11">
        <f t="shared" si="2"/>
        <v>551100</v>
      </c>
      <c r="K13" s="8">
        <v>569024</v>
      </c>
      <c r="L13" s="8">
        <v>551624</v>
      </c>
      <c r="M13" s="11">
        <f t="shared" si="3"/>
        <v>560324</v>
      </c>
      <c r="N13" s="39">
        <f t="shared" si="12"/>
        <v>1.6526730962800093E-2</v>
      </c>
      <c r="O13" s="11">
        <f t="shared" si="13"/>
        <v>569600</v>
      </c>
      <c r="P13" s="4">
        <f t="shared" si="4"/>
        <v>24700</v>
      </c>
      <c r="Q13" s="4">
        <v>24712</v>
      </c>
      <c r="R13" s="4">
        <v>97337</v>
      </c>
      <c r="S13" s="4">
        <f t="shared" si="5"/>
        <v>61024.5</v>
      </c>
      <c r="T13" s="34">
        <f t="shared" si="14"/>
        <v>0.59604789060131591</v>
      </c>
      <c r="U13" s="4">
        <f t="shared" si="15"/>
        <v>97400</v>
      </c>
      <c r="V13" s="11">
        <f t="shared" si="6"/>
        <v>801800</v>
      </c>
      <c r="W13" s="8">
        <v>802630</v>
      </c>
      <c r="X13" s="8">
        <v>866793</v>
      </c>
      <c r="Y13" s="11">
        <f t="shared" si="7"/>
        <v>834711.5</v>
      </c>
      <c r="Z13" s="39">
        <f t="shared" si="16"/>
        <v>3.9434237458091811E-2</v>
      </c>
      <c r="AA13" s="11">
        <f t="shared" si="17"/>
        <v>867600</v>
      </c>
      <c r="AB13" s="4">
        <f t="shared" si="8"/>
        <v>826900</v>
      </c>
      <c r="AC13" s="4">
        <v>827742</v>
      </c>
      <c r="AD13" s="4">
        <v>850478</v>
      </c>
      <c r="AE13" s="4">
        <f t="shared" si="9"/>
        <v>839110</v>
      </c>
      <c r="AF13" s="34">
        <f t="shared" si="18"/>
        <v>1.4547687430730177E-2</v>
      </c>
      <c r="AG13" s="4">
        <f t="shared" si="19"/>
        <v>851300</v>
      </c>
    </row>
    <row r="14" spans="2:33">
      <c r="B14" s="61">
        <v>5</v>
      </c>
      <c r="C14" s="3" t="s">
        <v>21</v>
      </c>
      <c r="D14" s="4">
        <f t="shared" si="0"/>
        <v>1110100</v>
      </c>
      <c r="E14" s="4">
        <v>1118989</v>
      </c>
      <c r="F14" s="4">
        <v>1123642</v>
      </c>
      <c r="G14" s="4">
        <f t="shared" si="1"/>
        <v>1121315.5</v>
      </c>
      <c r="H14" s="34">
        <f t="shared" si="10"/>
        <v>0.01</v>
      </c>
      <c r="I14" s="4">
        <f t="shared" si="11"/>
        <v>1132500</v>
      </c>
      <c r="J14" s="11">
        <f t="shared" si="2"/>
        <v>382200</v>
      </c>
      <c r="K14" s="8">
        <v>389597</v>
      </c>
      <c r="L14" s="8">
        <v>382537</v>
      </c>
      <c r="M14" s="11">
        <f t="shared" si="3"/>
        <v>386067</v>
      </c>
      <c r="N14" s="39">
        <f t="shared" si="12"/>
        <v>1.0143490637635436E-2</v>
      </c>
      <c r="O14" s="11">
        <f t="shared" si="13"/>
        <v>390000</v>
      </c>
      <c r="P14" s="4">
        <f t="shared" si="4"/>
        <v>5500</v>
      </c>
      <c r="Q14" s="4">
        <v>5486</v>
      </c>
      <c r="R14" s="4">
        <v>65320</v>
      </c>
      <c r="S14" s="4">
        <f t="shared" si="5"/>
        <v>35403</v>
      </c>
      <c r="T14" s="34">
        <f t="shared" si="14"/>
        <v>0.84604138067395418</v>
      </c>
      <c r="U14" s="4">
        <f t="shared" si="15"/>
        <v>65400</v>
      </c>
      <c r="V14" s="11">
        <f t="shared" si="6"/>
        <v>403100</v>
      </c>
      <c r="W14" s="8">
        <v>415910</v>
      </c>
      <c r="X14" s="8">
        <v>403502</v>
      </c>
      <c r="Y14" s="11">
        <f t="shared" si="7"/>
        <v>409706</v>
      </c>
      <c r="Z14" s="39">
        <f t="shared" si="16"/>
        <v>1.614256564463298E-2</v>
      </c>
      <c r="AA14" s="11">
        <f t="shared" si="17"/>
        <v>416300</v>
      </c>
      <c r="AB14" s="4">
        <f t="shared" si="8"/>
        <v>535700</v>
      </c>
      <c r="AC14" s="4">
        <v>536215</v>
      </c>
      <c r="AD14" s="4">
        <v>593398</v>
      </c>
      <c r="AE14" s="4">
        <f t="shared" si="9"/>
        <v>564806.5</v>
      </c>
      <c r="AF14" s="34">
        <f t="shared" si="18"/>
        <v>5.1621761612162753E-2</v>
      </c>
      <c r="AG14" s="4">
        <f t="shared" si="19"/>
        <v>594000</v>
      </c>
    </row>
    <row r="15" spans="2:33">
      <c r="B15" s="61">
        <v>6</v>
      </c>
      <c r="C15" s="3" t="s">
        <v>22</v>
      </c>
      <c r="D15" s="4">
        <f t="shared" si="0"/>
        <v>425900</v>
      </c>
      <c r="E15" s="4">
        <v>426510</v>
      </c>
      <c r="F15" s="4">
        <v>433938</v>
      </c>
      <c r="G15" s="4">
        <f t="shared" si="1"/>
        <v>430224</v>
      </c>
      <c r="H15" s="34">
        <f t="shared" si="10"/>
        <v>0.01</v>
      </c>
      <c r="I15" s="4">
        <f t="shared" si="11"/>
        <v>434500</v>
      </c>
      <c r="J15" s="11">
        <f t="shared" si="2"/>
        <v>141700</v>
      </c>
      <c r="K15" s="8">
        <v>147331</v>
      </c>
      <c r="L15" s="8">
        <v>141807</v>
      </c>
      <c r="M15" s="11">
        <f t="shared" si="3"/>
        <v>144569</v>
      </c>
      <c r="N15" s="39">
        <f t="shared" si="12"/>
        <v>2.0105064017873819E-2</v>
      </c>
      <c r="O15" s="11">
        <f t="shared" si="13"/>
        <v>147500</v>
      </c>
      <c r="P15" s="4">
        <f t="shared" si="4"/>
        <v>2000</v>
      </c>
      <c r="Q15" s="4">
        <v>2038</v>
      </c>
      <c r="R15" s="4">
        <v>26487</v>
      </c>
      <c r="S15" s="4">
        <f t="shared" si="5"/>
        <v>14262.5</v>
      </c>
      <c r="T15" s="34">
        <f t="shared" si="14"/>
        <v>0.85810780017528487</v>
      </c>
      <c r="U15" s="4">
        <f t="shared" si="15"/>
        <v>26500</v>
      </c>
      <c r="V15" s="11">
        <f t="shared" si="6"/>
        <v>131900</v>
      </c>
      <c r="W15" s="8">
        <v>157519</v>
      </c>
      <c r="X15" s="8">
        <v>132039</v>
      </c>
      <c r="Y15" s="11">
        <f t="shared" si="7"/>
        <v>144779</v>
      </c>
      <c r="Z15" s="39">
        <f t="shared" si="16"/>
        <v>8.8996187292355936E-2</v>
      </c>
      <c r="AA15" s="11">
        <f t="shared" si="17"/>
        <v>157700</v>
      </c>
      <c r="AB15" s="4">
        <f t="shared" si="8"/>
        <v>200300</v>
      </c>
      <c r="AC15" s="4">
        <v>200540</v>
      </c>
      <c r="AD15" s="4">
        <v>232652</v>
      </c>
      <c r="AE15" s="4">
        <f t="shared" si="9"/>
        <v>216596</v>
      </c>
      <c r="AF15" s="34">
        <f t="shared" si="18"/>
        <v>7.5128792775489853E-2</v>
      </c>
      <c r="AG15" s="4">
        <f t="shared" si="19"/>
        <v>232900</v>
      </c>
    </row>
    <row r="16" spans="2:33">
      <c r="B16" s="61">
        <v>7</v>
      </c>
      <c r="C16" s="3" t="s">
        <v>23</v>
      </c>
      <c r="D16" s="4">
        <f t="shared" si="0"/>
        <v>139200</v>
      </c>
      <c r="E16" s="4">
        <v>139349</v>
      </c>
      <c r="F16" s="4">
        <v>145511</v>
      </c>
      <c r="G16" s="4">
        <f t="shared" si="1"/>
        <v>142430</v>
      </c>
      <c r="H16" s="34">
        <f t="shared" si="10"/>
        <v>2.2631678719370919E-2</v>
      </c>
      <c r="I16" s="4">
        <f t="shared" si="11"/>
        <v>145700</v>
      </c>
      <c r="J16" s="11">
        <f t="shared" si="2"/>
        <v>49000</v>
      </c>
      <c r="K16" s="8">
        <v>49065</v>
      </c>
      <c r="L16" s="8">
        <v>50384</v>
      </c>
      <c r="M16" s="11">
        <f t="shared" si="3"/>
        <v>49724.5</v>
      </c>
      <c r="N16" s="39">
        <f t="shared" si="12"/>
        <v>1.4263079568422005E-2</v>
      </c>
      <c r="O16" s="11">
        <f t="shared" si="13"/>
        <v>50400</v>
      </c>
      <c r="P16" s="4">
        <f t="shared" si="4"/>
        <v>2400</v>
      </c>
      <c r="Q16" s="4">
        <v>2429</v>
      </c>
      <c r="R16" s="4">
        <v>7469</v>
      </c>
      <c r="S16" s="4">
        <f t="shared" si="5"/>
        <v>4949</v>
      </c>
      <c r="T16" s="34">
        <f t="shared" si="14"/>
        <v>0.51019377652050923</v>
      </c>
      <c r="U16" s="4">
        <f t="shared" si="15"/>
        <v>7500</v>
      </c>
      <c r="V16" s="11">
        <f t="shared" si="6"/>
        <v>71400</v>
      </c>
      <c r="W16" s="8">
        <v>85978</v>
      </c>
      <c r="X16" s="8">
        <v>71510</v>
      </c>
      <c r="Y16" s="11">
        <f t="shared" si="7"/>
        <v>78744</v>
      </c>
      <c r="Z16" s="39">
        <f t="shared" si="16"/>
        <v>9.2867316874936504E-2</v>
      </c>
      <c r="AA16" s="11">
        <f t="shared" si="17"/>
        <v>86100</v>
      </c>
      <c r="AB16" s="4">
        <f t="shared" si="8"/>
        <v>71100</v>
      </c>
      <c r="AC16" s="4">
        <v>71177</v>
      </c>
      <c r="AD16" s="4">
        <v>80499</v>
      </c>
      <c r="AE16" s="4">
        <f t="shared" si="9"/>
        <v>75838</v>
      </c>
      <c r="AF16" s="34">
        <f t="shared" si="18"/>
        <v>6.245995411271394E-2</v>
      </c>
      <c r="AG16" s="4">
        <f t="shared" si="19"/>
        <v>80600</v>
      </c>
    </row>
    <row r="17" spans="2:38">
      <c r="B17" s="61">
        <v>8</v>
      </c>
      <c r="C17" s="3" t="s">
        <v>24</v>
      </c>
      <c r="D17" s="4">
        <f t="shared" si="0"/>
        <v>497100</v>
      </c>
      <c r="E17" s="4">
        <v>497591</v>
      </c>
      <c r="F17" s="4">
        <v>510791</v>
      </c>
      <c r="G17" s="4">
        <f t="shared" si="1"/>
        <v>504191</v>
      </c>
      <c r="H17" s="34">
        <f t="shared" si="10"/>
        <v>1.409027729570738E-2</v>
      </c>
      <c r="I17" s="4">
        <f t="shared" si="11"/>
        <v>511300</v>
      </c>
      <c r="J17" s="11">
        <f t="shared" si="2"/>
        <v>187100</v>
      </c>
      <c r="K17" s="8">
        <v>190058</v>
      </c>
      <c r="L17" s="8">
        <v>187974</v>
      </c>
      <c r="M17" s="11">
        <f t="shared" si="3"/>
        <v>189016</v>
      </c>
      <c r="N17" s="39">
        <f t="shared" si="12"/>
        <v>0.01</v>
      </c>
      <c r="O17" s="11">
        <f t="shared" si="13"/>
        <v>190900</v>
      </c>
      <c r="P17" s="4">
        <f t="shared" si="4"/>
        <v>5100</v>
      </c>
      <c r="Q17" s="4">
        <v>5076</v>
      </c>
      <c r="R17" s="4">
        <v>26046</v>
      </c>
      <c r="S17" s="4">
        <f t="shared" si="5"/>
        <v>15561</v>
      </c>
      <c r="T17" s="34">
        <f t="shared" si="14"/>
        <v>0.67479988432620008</v>
      </c>
      <c r="U17" s="4">
        <f t="shared" si="15"/>
        <v>26100</v>
      </c>
      <c r="V17" s="11">
        <f t="shared" si="6"/>
        <v>220700</v>
      </c>
      <c r="W17" s="8">
        <v>240882</v>
      </c>
      <c r="X17" s="8">
        <v>220904</v>
      </c>
      <c r="Y17" s="11">
        <f t="shared" si="7"/>
        <v>230893</v>
      </c>
      <c r="Z17" s="39">
        <f t="shared" si="16"/>
        <v>4.4262463565374437E-2</v>
      </c>
      <c r="AA17" s="11">
        <f t="shared" si="17"/>
        <v>241100</v>
      </c>
      <c r="AB17" s="4">
        <f t="shared" si="8"/>
        <v>249700</v>
      </c>
      <c r="AC17" s="4">
        <v>250010</v>
      </c>
      <c r="AD17" s="4">
        <v>281365</v>
      </c>
      <c r="AE17" s="4">
        <f t="shared" si="9"/>
        <v>265687.5</v>
      </c>
      <c r="AF17" s="34">
        <f t="shared" si="18"/>
        <v>6.0007292401787815E-2</v>
      </c>
      <c r="AG17" s="4">
        <f t="shared" si="19"/>
        <v>281600</v>
      </c>
    </row>
    <row r="18" spans="2:38">
      <c r="B18" s="61">
        <v>9</v>
      </c>
      <c r="C18" s="3" t="s">
        <v>25</v>
      </c>
      <c r="D18" s="4">
        <f t="shared" si="0"/>
        <v>255900</v>
      </c>
      <c r="E18" s="4">
        <v>256192</v>
      </c>
      <c r="F18" s="4">
        <v>272286</v>
      </c>
      <c r="G18" s="4">
        <f t="shared" si="1"/>
        <v>264239</v>
      </c>
      <c r="H18" s="35">
        <f t="shared" si="10"/>
        <v>3.1453490968403601E-2</v>
      </c>
      <c r="I18" s="4">
        <f t="shared" si="11"/>
        <v>272600</v>
      </c>
      <c r="J18" s="11">
        <f t="shared" si="2"/>
        <v>104700</v>
      </c>
      <c r="K18" s="8">
        <v>104848</v>
      </c>
      <c r="L18" s="8">
        <v>108618</v>
      </c>
      <c r="M18" s="11">
        <f t="shared" si="3"/>
        <v>106733</v>
      </c>
      <c r="N18" s="40">
        <f t="shared" si="12"/>
        <v>1.8660892132704974E-2</v>
      </c>
      <c r="O18" s="11">
        <f t="shared" si="13"/>
        <v>108700</v>
      </c>
      <c r="P18" s="4">
        <f t="shared" si="4"/>
        <v>2900</v>
      </c>
      <c r="Q18" s="4">
        <v>2884</v>
      </c>
      <c r="R18" s="4">
        <v>12455</v>
      </c>
      <c r="S18" s="4">
        <f t="shared" si="5"/>
        <v>7669.5</v>
      </c>
      <c r="T18" s="35">
        <f t="shared" si="14"/>
        <v>0.6249650563922029</v>
      </c>
      <c r="U18" s="4">
        <f t="shared" si="15"/>
        <v>12500</v>
      </c>
      <c r="V18" s="11">
        <f t="shared" si="6"/>
        <v>134800</v>
      </c>
      <c r="W18" s="8">
        <v>136313</v>
      </c>
      <c r="X18" s="8">
        <v>136003</v>
      </c>
      <c r="Y18" s="11">
        <f t="shared" si="7"/>
        <v>136158</v>
      </c>
      <c r="Z18" s="40">
        <f t="shared" si="16"/>
        <v>0.01</v>
      </c>
      <c r="AA18" s="11">
        <f t="shared" si="17"/>
        <v>137500</v>
      </c>
      <c r="AB18" s="4">
        <f t="shared" si="8"/>
        <v>130600</v>
      </c>
      <c r="AC18" s="4">
        <v>130746</v>
      </c>
      <c r="AD18" s="4">
        <v>135846</v>
      </c>
      <c r="AE18" s="4">
        <f t="shared" si="9"/>
        <v>133296</v>
      </c>
      <c r="AF18" s="35">
        <f t="shared" si="18"/>
        <v>2.0130356499819951E-2</v>
      </c>
      <c r="AG18" s="4">
        <f t="shared" si="19"/>
        <v>136000</v>
      </c>
    </row>
    <row r="19" spans="2:38">
      <c r="C19" s="5" t="s">
        <v>26</v>
      </c>
      <c r="D19" s="6">
        <f>SUM(D10:D18)</f>
        <v>7528800</v>
      </c>
      <c r="E19" s="6">
        <v>7581396</v>
      </c>
      <c r="F19" s="6">
        <v>7655589</v>
      </c>
      <c r="G19" s="6">
        <f>SUM(G10:G18)</f>
        <v>7618492.5</v>
      </c>
      <c r="H19" s="32"/>
      <c r="I19" s="6">
        <f>SUM(I10:I18)</f>
        <v>7708200</v>
      </c>
      <c r="J19" s="41">
        <f>SUM(J10:J18)</f>
        <v>2650800</v>
      </c>
      <c r="K19" s="9">
        <f>SUM(K10:K18)</f>
        <v>2696294</v>
      </c>
      <c r="L19" s="9">
        <f>SUM(L10:L18)</f>
        <v>2676576</v>
      </c>
      <c r="M19" s="41">
        <f>SUM(M10:M18)</f>
        <v>2686435</v>
      </c>
      <c r="N19" s="42"/>
      <c r="O19" s="41">
        <f>SUM(O10:O18)</f>
        <v>2722200</v>
      </c>
      <c r="P19" s="6">
        <f>SUM(P10:P18)</f>
        <v>90800</v>
      </c>
      <c r="Q19" s="6">
        <f>SUM(Q10:Q18)</f>
        <v>90857</v>
      </c>
      <c r="R19" s="6">
        <f>SUM(R10:R18)</f>
        <v>438804</v>
      </c>
      <c r="S19" s="6">
        <f>SUM(S10:S18)</f>
        <v>264830.5</v>
      </c>
      <c r="T19" s="32"/>
      <c r="U19" s="6">
        <f>SUM(U10:U18)</f>
        <v>439300</v>
      </c>
      <c r="V19" s="41">
        <f>SUM(V10:V18)</f>
        <v>3779100</v>
      </c>
      <c r="W19" s="9">
        <f>SUM(W10:W18)</f>
        <v>3861318</v>
      </c>
      <c r="X19" s="9">
        <f>SUM(X10:X18)</f>
        <v>4005318</v>
      </c>
      <c r="Y19" s="41">
        <f>SUM(Y10:Y18)</f>
        <v>3933318</v>
      </c>
      <c r="Z19" s="42"/>
      <c r="AA19" s="41">
        <f>SUM(AA10:AA18)</f>
        <v>4087400</v>
      </c>
      <c r="AB19" s="6">
        <f>SUM(AB10:AB18)</f>
        <v>3868100</v>
      </c>
      <c r="AC19" s="6">
        <f>SUM(AC10:AC18)</f>
        <v>3894662</v>
      </c>
      <c r="AD19" s="6">
        <f>SUM(AD10:AD18)</f>
        <v>4040983</v>
      </c>
      <c r="AE19" s="6">
        <f>SUM(AE10:AE18)</f>
        <v>3967822.5</v>
      </c>
      <c r="AF19" s="32"/>
      <c r="AG19" s="6">
        <f>SUM(AG10:AG18)</f>
        <v>4067600</v>
      </c>
    </row>
    <row r="22" spans="2:38" ht="18.75">
      <c r="C22" s="1" t="s">
        <v>27</v>
      </c>
    </row>
    <row r="23" spans="2:38" ht="18.75">
      <c r="C23" s="1" t="s">
        <v>1</v>
      </c>
    </row>
    <row r="24" spans="2:38" ht="18.75">
      <c r="C24" s="1" t="s">
        <v>2</v>
      </c>
    </row>
    <row r="27" spans="2:38" ht="36.75" customHeight="1">
      <c r="C27" s="232" t="s">
        <v>28</v>
      </c>
      <c r="D27" s="237" t="s">
        <v>6</v>
      </c>
      <c r="E27" s="237"/>
      <c r="F27" s="237"/>
      <c r="G27" s="237"/>
      <c r="H27" s="237"/>
      <c r="I27" s="237"/>
      <c r="J27" s="234" t="s">
        <v>7</v>
      </c>
      <c r="K27" s="234"/>
      <c r="L27" s="234"/>
      <c r="M27" s="234"/>
      <c r="N27" s="234"/>
      <c r="O27" s="234"/>
      <c r="P27" s="235" t="s">
        <v>8</v>
      </c>
      <c r="Q27" s="235"/>
      <c r="R27" s="235"/>
      <c r="S27" s="235"/>
      <c r="T27" s="235"/>
      <c r="U27" s="235"/>
      <c r="V27" s="236" t="s">
        <v>9</v>
      </c>
      <c r="W27" s="236"/>
      <c r="X27" s="236"/>
      <c r="Y27" s="236"/>
      <c r="Z27" s="236"/>
      <c r="AA27" s="236"/>
      <c r="AB27" s="235" t="s">
        <v>10</v>
      </c>
      <c r="AC27" s="235"/>
      <c r="AD27" s="235"/>
      <c r="AE27" s="235"/>
      <c r="AF27" s="235"/>
      <c r="AG27" s="235"/>
    </row>
    <row r="28" spans="2:38" ht="16.5" thickBot="1">
      <c r="C28" s="233"/>
      <c r="D28" s="2" t="s">
        <v>11</v>
      </c>
      <c r="E28" s="2" t="s">
        <v>12</v>
      </c>
      <c r="F28" s="2" t="s">
        <v>13</v>
      </c>
      <c r="G28" s="2" t="s">
        <v>14</v>
      </c>
      <c r="H28" s="33" t="s">
        <v>15</v>
      </c>
      <c r="I28" s="2" t="s">
        <v>16</v>
      </c>
      <c r="J28" s="7" t="s">
        <v>11</v>
      </c>
      <c r="K28" s="7" t="s">
        <v>12</v>
      </c>
      <c r="L28" s="7" t="s">
        <v>13</v>
      </c>
      <c r="M28" s="7" t="s">
        <v>14</v>
      </c>
      <c r="N28" s="43" t="s">
        <v>15</v>
      </c>
      <c r="O28" s="7" t="s">
        <v>16</v>
      </c>
      <c r="P28" s="2" t="s">
        <v>11</v>
      </c>
      <c r="Q28" s="2" t="s">
        <v>12</v>
      </c>
      <c r="R28" s="2" t="s">
        <v>13</v>
      </c>
      <c r="S28" s="2" t="s">
        <v>14</v>
      </c>
      <c r="T28" s="33" t="s">
        <v>15</v>
      </c>
      <c r="U28" s="2" t="s">
        <v>16</v>
      </c>
      <c r="V28" s="7" t="s">
        <v>11</v>
      </c>
      <c r="W28" s="7" t="s">
        <v>12</v>
      </c>
      <c r="X28" s="7" t="s">
        <v>13</v>
      </c>
      <c r="Y28" s="7" t="s">
        <v>14</v>
      </c>
      <c r="Z28" s="43" t="s">
        <v>15</v>
      </c>
      <c r="AA28" s="7" t="s">
        <v>16</v>
      </c>
      <c r="AB28" s="2" t="s">
        <v>11</v>
      </c>
      <c r="AC28" s="2" t="s">
        <v>12</v>
      </c>
      <c r="AD28" s="2" t="s">
        <v>13</v>
      </c>
      <c r="AE28" s="2" t="s">
        <v>14</v>
      </c>
      <c r="AF28" s="33" t="s">
        <v>15</v>
      </c>
      <c r="AG28" s="2" t="s">
        <v>16</v>
      </c>
    </row>
    <row r="29" spans="2:38" s="22" customFormat="1" thickTop="1">
      <c r="B29" s="62" t="s">
        <v>29</v>
      </c>
      <c r="C29" s="23" t="s">
        <v>30</v>
      </c>
      <c r="D29" s="27">
        <f t="shared" ref="D29:D59" si="20">ROUND((1-H29)*G29,-2)</f>
        <v>859200</v>
      </c>
      <c r="E29" s="37">
        <v>860066</v>
      </c>
      <c r="F29" s="37">
        <v>883655</v>
      </c>
      <c r="G29" s="27">
        <f t="shared" ref="G29:G59" si="21">AVERAGE(E29:F29)</f>
        <v>871860.5</v>
      </c>
      <c r="H29" s="35">
        <f t="shared" ref="H29:H59" si="22">MAX(MAX(ABS((E29-G29)/G29),ABS((F29-G29)/G29))+0.001,0.01)</f>
        <v>1.4527966916725782E-2</v>
      </c>
      <c r="I29" s="27">
        <f t="shared" ref="I29:I59" si="23">ROUND((1+H29)*G29,-2)</f>
        <v>884500</v>
      </c>
      <c r="J29" s="28">
        <f t="shared" ref="J29:J59" si="24">ROUND((1-N29)*M29,-2)</f>
        <v>353900</v>
      </c>
      <c r="K29" s="28">
        <v>354263</v>
      </c>
      <c r="L29" s="28">
        <v>365801</v>
      </c>
      <c r="M29" s="28">
        <f t="shared" ref="M29:M59" si="25">AVERAGE(K29:L29)</f>
        <v>360032</v>
      </c>
      <c r="N29" s="45">
        <f t="shared" ref="N29:N59" si="26">MAX(MAX(ABS((K29-M29)/M29),ABS((L29-M29)/M29))+0.001,0.01)</f>
        <v>1.7023575682161587E-2</v>
      </c>
      <c r="O29" s="28">
        <f t="shared" ref="O29:O59" si="27">ROUND((1+N29)*M29,-2)</f>
        <v>366200</v>
      </c>
      <c r="P29" s="27">
        <f t="shared" ref="P29:P59" si="28">ROUND((1-T29)*S29,-2)</f>
        <v>16100</v>
      </c>
      <c r="Q29" s="24">
        <v>16110</v>
      </c>
      <c r="R29" s="24">
        <v>39063</v>
      </c>
      <c r="S29" s="27">
        <f t="shared" ref="S29:S59" si="29">AVERAGE(Q29:R29)</f>
        <v>27586.5</v>
      </c>
      <c r="T29" s="35">
        <f t="shared" ref="T29:T59" si="30">MAX(MAX(ABS((Q29-S29)/S29),ABS((R29-S29)/S29))+0.001,0.01)</f>
        <v>0.41701870480126146</v>
      </c>
      <c r="U29" s="27">
        <f t="shared" ref="U29:U59" si="31">ROUND((1+T29)*S29,-2)</f>
        <v>39100</v>
      </c>
      <c r="V29" s="28">
        <f t="shared" ref="V29:V59" si="32">ROUND((1-Z29)*Y29,-2)</f>
        <v>636600</v>
      </c>
      <c r="W29" s="28">
        <v>637283</v>
      </c>
      <c r="X29" s="28">
        <v>681988</v>
      </c>
      <c r="Y29" s="28">
        <f t="shared" ref="Y29:Y59" si="33">AVERAGE(W29:X29)</f>
        <v>659635.5</v>
      </c>
      <c r="Z29" s="45">
        <f t="shared" ref="Z29:Z59" si="34">MAX(MAX(ABS((W29-Y29)/Y29),ABS((X29-Y29)/Y29))+0.001,0.01)</f>
        <v>3.4886138632623624E-2</v>
      </c>
      <c r="AA29" s="28">
        <f t="shared" ref="AA29:AA59" si="35">ROUND((1+Z29)*Y29,-2)</f>
        <v>682600</v>
      </c>
      <c r="AB29" s="27">
        <f t="shared" ref="AB29:AB59" si="36">ROUND((1-AF29)*AE29,-2)</f>
        <v>502600</v>
      </c>
      <c r="AC29" s="24">
        <v>505300</v>
      </c>
      <c r="AD29" s="24">
        <v>509975</v>
      </c>
      <c r="AE29" s="27">
        <f t="shared" ref="AE29:AE59" si="37">AVERAGE(AC29:AD29)</f>
        <v>507637.5</v>
      </c>
      <c r="AF29" s="35">
        <f t="shared" ref="AF29:AF59" si="38">MAX(MAX(ABS((AC29-AE29)/AE29),ABS((AD29-AE29)/AE29))+0.001,0.01)</f>
        <v>0.01</v>
      </c>
      <c r="AG29" s="27">
        <f t="shared" ref="AG29:AG59" si="39">ROUND((1+AF29)*AE29,-2)</f>
        <v>512700</v>
      </c>
      <c r="AI29" s="25"/>
      <c r="AL29" s="26"/>
    </row>
    <row r="30" spans="2:38">
      <c r="B30" s="61">
        <v>5</v>
      </c>
      <c r="C30" s="13" t="s">
        <v>31</v>
      </c>
      <c r="D30" s="4">
        <f t="shared" si="20"/>
        <v>301000</v>
      </c>
      <c r="E30" s="4">
        <v>304994</v>
      </c>
      <c r="F30" s="4">
        <v>303007</v>
      </c>
      <c r="G30" s="4">
        <f t="shared" si="21"/>
        <v>304000.5</v>
      </c>
      <c r="H30" s="34">
        <f t="shared" si="22"/>
        <v>0.01</v>
      </c>
      <c r="I30" s="4">
        <f t="shared" si="23"/>
        <v>307000</v>
      </c>
      <c r="J30" s="8">
        <f t="shared" si="24"/>
        <v>97400</v>
      </c>
      <c r="K30" s="8">
        <v>99139</v>
      </c>
      <c r="L30" s="8">
        <v>97614</v>
      </c>
      <c r="M30" s="8">
        <f t="shared" si="25"/>
        <v>98376.5</v>
      </c>
      <c r="N30" s="44">
        <f t="shared" si="26"/>
        <v>0.01</v>
      </c>
      <c r="O30" s="8">
        <f t="shared" si="27"/>
        <v>99400</v>
      </c>
      <c r="P30" s="4">
        <f t="shared" si="28"/>
        <v>1700</v>
      </c>
      <c r="Q30" s="4">
        <v>1664</v>
      </c>
      <c r="R30" s="4">
        <v>15854</v>
      </c>
      <c r="S30" s="4">
        <f t="shared" si="29"/>
        <v>8759</v>
      </c>
      <c r="T30" s="34">
        <f t="shared" si="30"/>
        <v>0.81102397533965065</v>
      </c>
      <c r="U30" s="4">
        <f t="shared" si="31"/>
        <v>15900</v>
      </c>
      <c r="V30" s="8">
        <f t="shared" si="32"/>
        <v>130200</v>
      </c>
      <c r="W30" s="8">
        <v>134658</v>
      </c>
      <c r="X30" s="8">
        <v>130322</v>
      </c>
      <c r="Y30" s="8">
        <f t="shared" si="33"/>
        <v>132490</v>
      </c>
      <c r="Z30" s="44">
        <f t="shared" si="34"/>
        <v>1.7363499132009963E-2</v>
      </c>
      <c r="AA30" s="8">
        <f t="shared" si="35"/>
        <v>134800</v>
      </c>
      <c r="AB30" s="4">
        <f t="shared" si="36"/>
        <v>155400</v>
      </c>
      <c r="AC30" s="4">
        <v>166500</v>
      </c>
      <c r="AD30" s="4">
        <v>155524</v>
      </c>
      <c r="AE30" s="4">
        <f t="shared" si="37"/>
        <v>161012</v>
      </c>
      <c r="AF30" s="34">
        <f t="shared" si="38"/>
        <v>3.5084416068367576E-2</v>
      </c>
      <c r="AG30" s="4">
        <f t="shared" si="39"/>
        <v>166700</v>
      </c>
      <c r="AI30" s="21"/>
      <c r="AL30" s="21"/>
    </row>
    <row r="31" spans="2:38">
      <c r="B31" s="61">
        <v>6</v>
      </c>
      <c r="C31" s="14" t="s">
        <v>32</v>
      </c>
      <c r="D31" s="4">
        <f t="shared" si="20"/>
        <v>221900</v>
      </c>
      <c r="E31" s="4">
        <v>222113</v>
      </c>
      <c r="F31" s="4">
        <v>232723</v>
      </c>
      <c r="G31" s="4">
        <f t="shared" si="21"/>
        <v>227418</v>
      </c>
      <c r="H31" s="36">
        <f t="shared" si="22"/>
        <v>2.4327089324503778E-2</v>
      </c>
      <c r="I31" s="4">
        <f t="shared" si="23"/>
        <v>233000</v>
      </c>
      <c r="J31" s="8">
        <f t="shared" si="24"/>
        <v>83200</v>
      </c>
      <c r="K31" s="8">
        <v>83332</v>
      </c>
      <c r="L31" s="8">
        <v>87203</v>
      </c>
      <c r="M31" s="8">
        <f t="shared" si="25"/>
        <v>85267.5</v>
      </c>
      <c r="N31" s="46">
        <f t="shared" si="26"/>
        <v>2.369915266660803E-2</v>
      </c>
      <c r="O31" s="8">
        <f t="shared" si="27"/>
        <v>87300</v>
      </c>
      <c r="P31" s="4">
        <f t="shared" si="28"/>
        <v>1900</v>
      </c>
      <c r="Q31" s="4">
        <v>1909</v>
      </c>
      <c r="R31" s="4">
        <v>13695</v>
      </c>
      <c r="S31" s="4">
        <f t="shared" si="29"/>
        <v>7802</v>
      </c>
      <c r="T31" s="36">
        <f t="shared" si="30"/>
        <v>0.75631914893617025</v>
      </c>
      <c r="U31" s="4">
        <f t="shared" si="31"/>
        <v>13700</v>
      </c>
      <c r="V31" s="8">
        <f t="shared" si="32"/>
        <v>110100</v>
      </c>
      <c r="W31" s="8">
        <v>118166</v>
      </c>
      <c r="X31" s="8">
        <v>110262</v>
      </c>
      <c r="Y31" s="8">
        <f t="shared" si="33"/>
        <v>114214</v>
      </c>
      <c r="Z31" s="46">
        <f t="shared" si="34"/>
        <v>3.5601712574640586E-2</v>
      </c>
      <c r="AA31" s="8">
        <f t="shared" si="35"/>
        <v>118300</v>
      </c>
      <c r="AB31" s="4">
        <f t="shared" si="36"/>
        <v>118000</v>
      </c>
      <c r="AC31" s="4">
        <v>118100</v>
      </c>
      <c r="AD31" s="4">
        <v>124923</v>
      </c>
      <c r="AE31" s="4">
        <f t="shared" si="37"/>
        <v>121511.5</v>
      </c>
      <c r="AF31" s="36">
        <f t="shared" si="38"/>
        <v>2.9075531945536019E-2</v>
      </c>
      <c r="AG31" s="4">
        <f t="shared" si="39"/>
        <v>125000</v>
      </c>
      <c r="AI31" s="21"/>
      <c r="AL31" s="21"/>
    </row>
    <row r="32" spans="2:38">
      <c r="B32" s="61">
        <v>7</v>
      </c>
      <c r="C32" s="15" t="s">
        <v>33</v>
      </c>
      <c r="D32" s="27">
        <f t="shared" si="20"/>
        <v>232300</v>
      </c>
      <c r="E32" s="27">
        <v>232514</v>
      </c>
      <c r="F32" s="27">
        <v>237698</v>
      </c>
      <c r="G32" s="27">
        <f t="shared" si="21"/>
        <v>235106</v>
      </c>
      <c r="H32" s="35">
        <f t="shared" si="22"/>
        <v>1.2024814339064081E-2</v>
      </c>
      <c r="I32" s="27">
        <f t="shared" si="23"/>
        <v>237900</v>
      </c>
      <c r="J32" s="29">
        <f t="shared" si="24"/>
        <v>79100</v>
      </c>
      <c r="K32" s="29">
        <v>79329</v>
      </c>
      <c r="L32" s="29">
        <v>80446</v>
      </c>
      <c r="M32" s="29">
        <f t="shared" si="25"/>
        <v>79887.5</v>
      </c>
      <c r="N32" s="47">
        <f t="shared" si="26"/>
        <v>0.01</v>
      </c>
      <c r="O32" s="29">
        <f t="shared" si="27"/>
        <v>80700</v>
      </c>
      <c r="P32" s="27">
        <f t="shared" si="28"/>
        <v>2600</v>
      </c>
      <c r="Q32" s="27">
        <v>2620</v>
      </c>
      <c r="R32" s="27">
        <v>15587</v>
      </c>
      <c r="S32" s="27">
        <f t="shared" si="29"/>
        <v>9103.5</v>
      </c>
      <c r="T32" s="35">
        <f t="shared" si="30"/>
        <v>0.71319860493216891</v>
      </c>
      <c r="U32" s="27">
        <f t="shared" si="31"/>
        <v>15600</v>
      </c>
      <c r="V32" s="29">
        <f t="shared" si="32"/>
        <v>142100</v>
      </c>
      <c r="W32" s="29">
        <v>142204</v>
      </c>
      <c r="X32" s="29">
        <v>152498</v>
      </c>
      <c r="Y32" s="29">
        <f t="shared" si="33"/>
        <v>147351</v>
      </c>
      <c r="Z32" s="47">
        <f t="shared" si="34"/>
        <v>3.5930200677294355E-2</v>
      </c>
      <c r="AA32" s="29">
        <f t="shared" si="35"/>
        <v>152600</v>
      </c>
      <c r="AB32" s="27">
        <f t="shared" si="36"/>
        <v>119100</v>
      </c>
      <c r="AC32" s="17">
        <v>120600</v>
      </c>
      <c r="AD32" s="17">
        <v>120034</v>
      </c>
      <c r="AE32" s="27">
        <f t="shared" si="37"/>
        <v>120317</v>
      </c>
      <c r="AF32" s="35">
        <f t="shared" si="38"/>
        <v>0.01</v>
      </c>
      <c r="AG32" s="27">
        <f t="shared" si="39"/>
        <v>121500</v>
      </c>
      <c r="AI32" s="21"/>
      <c r="AL32" s="21"/>
    </row>
    <row r="33" spans="2:38">
      <c r="B33" s="61">
        <v>8</v>
      </c>
      <c r="C33" s="13" t="s">
        <v>34</v>
      </c>
      <c r="D33" s="4">
        <f t="shared" si="20"/>
        <v>188400</v>
      </c>
      <c r="E33" s="4">
        <v>188584</v>
      </c>
      <c r="F33" s="4">
        <v>195516</v>
      </c>
      <c r="G33" s="4">
        <f t="shared" si="21"/>
        <v>192050</v>
      </c>
      <c r="H33" s="34">
        <f t="shared" si="22"/>
        <v>1.9047383493881801E-2</v>
      </c>
      <c r="I33" s="4">
        <f t="shared" si="23"/>
        <v>195700</v>
      </c>
      <c r="J33" s="8">
        <f t="shared" si="24"/>
        <v>71100</v>
      </c>
      <c r="K33" s="8">
        <v>71216</v>
      </c>
      <c r="L33" s="8">
        <v>73800</v>
      </c>
      <c r="M33" s="8">
        <f t="shared" si="25"/>
        <v>72508</v>
      </c>
      <c r="N33" s="44">
        <f t="shared" si="26"/>
        <v>1.8818723451205385E-2</v>
      </c>
      <c r="O33" s="8">
        <f t="shared" si="27"/>
        <v>73900</v>
      </c>
      <c r="P33" s="4">
        <f t="shared" si="28"/>
        <v>8600</v>
      </c>
      <c r="Q33" s="4">
        <v>8619</v>
      </c>
      <c r="R33" s="4">
        <v>9067</v>
      </c>
      <c r="S33" s="4">
        <f t="shared" si="29"/>
        <v>8843</v>
      </c>
      <c r="T33" s="34">
        <f t="shared" si="30"/>
        <v>2.6330770100644579E-2</v>
      </c>
      <c r="U33" s="4">
        <f t="shared" si="31"/>
        <v>9100</v>
      </c>
      <c r="V33" s="8">
        <f t="shared" si="32"/>
        <v>126500</v>
      </c>
      <c r="W33" s="8">
        <v>126661</v>
      </c>
      <c r="X33" s="8">
        <v>180267</v>
      </c>
      <c r="Y33" s="8">
        <f t="shared" si="33"/>
        <v>153464</v>
      </c>
      <c r="Z33" s="44">
        <f t="shared" si="34"/>
        <v>0.17565333889381224</v>
      </c>
      <c r="AA33" s="8">
        <f t="shared" si="35"/>
        <v>180400</v>
      </c>
      <c r="AB33" s="4">
        <f t="shared" si="36"/>
        <v>94200</v>
      </c>
      <c r="AC33" s="4">
        <v>94300</v>
      </c>
      <c r="AD33" s="4">
        <v>104050</v>
      </c>
      <c r="AE33" s="4">
        <f t="shared" si="37"/>
        <v>99175</v>
      </c>
      <c r="AF33" s="34">
        <f t="shared" si="38"/>
        <v>5.0155533148474922E-2</v>
      </c>
      <c r="AG33" s="4">
        <f t="shared" si="39"/>
        <v>104100</v>
      </c>
      <c r="AI33" s="21"/>
      <c r="AL33" s="21"/>
    </row>
    <row r="34" spans="2:38">
      <c r="B34" s="61">
        <v>9</v>
      </c>
      <c r="C34" s="14" t="s">
        <v>35</v>
      </c>
      <c r="D34" s="4">
        <f t="shared" si="20"/>
        <v>280200</v>
      </c>
      <c r="E34" s="4">
        <v>280500</v>
      </c>
      <c r="F34" s="4">
        <v>289103</v>
      </c>
      <c r="G34" s="4">
        <f t="shared" si="21"/>
        <v>284801.5</v>
      </c>
      <c r="H34" s="34">
        <f t="shared" si="22"/>
        <v>1.6103501912735713E-2</v>
      </c>
      <c r="I34" s="4">
        <f t="shared" si="23"/>
        <v>289400</v>
      </c>
      <c r="J34" s="8">
        <f t="shared" si="24"/>
        <v>104600</v>
      </c>
      <c r="K34" s="8">
        <v>104658</v>
      </c>
      <c r="L34" s="8">
        <v>107031</v>
      </c>
      <c r="M34" s="8">
        <f t="shared" si="25"/>
        <v>105844.5</v>
      </c>
      <c r="N34" s="44">
        <f t="shared" si="26"/>
        <v>1.2209840851437722E-2</v>
      </c>
      <c r="O34" s="8">
        <f t="shared" si="27"/>
        <v>107100</v>
      </c>
      <c r="P34" s="4">
        <f t="shared" si="28"/>
        <v>900</v>
      </c>
      <c r="Q34" s="4">
        <v>898</v>
      </c>
      <c r="R34" s="4">
        <v>22013</v>
      </c>
      <c r="S34" s="4">
        <f t="shared" si="29"/>
        <v>11455.5</v>
      </c>
      <c r="T34" s="34">
        <f t="shared" si="30"/>
        <v>0.92260970712758061</v>
      </c>
      <c r="U34" s="4">
        <f t="shared" si="31"/>
        <v>22000</v>
      </c>
      <c r="V34" s="8">
        <f t="shared" si="32"/>
        <v>332800</v>
      </c>
      <c r="W34" s="8">
        <v>333187</v>
      </c>
      <c r="X34" s="8">
        <v>369721</v>
      </c>
      <c r="Y34" s="8">
        <f t="shared" si="33"/>
        <v>351454</v>
      </c>
      <c r="Z34" s="44">
        <f t="shared" si="34"/>
        <v>5.2975507463281113E-2</v>
      </c>
      <c r="AA34" s="8">
        <f t="shared" si="35"/>
        <v>370100</v>
      </c>
      <c r="AB34" s="4">
        <f t="shared" si="36"/>
        <v>153100</v>
      </c>
      <c r="AC34" s="4">
        <v>154300</v>
      </c>
      <c r="AD34" s="4">
        <v>154978</v>
      </c>
      <c r="AE34" s="4">
        <f t="shared" si="37"/>
        <v>154639</v>
      </c>
      <c r="AF34" s="34">
        <f t="shared" si="38"/>
        <v>0.01</v>
      </c>
      <c r="AG34" s="4">
        <f t="shared" si="39"/>
        <v>156200</v>
      </c>
      <c r="AI34" s="21"/>
      <c r="AL34" s="21"/>
    </row>
    <row r="35" spans="2:38">
      <c r="B35" s="61">
        <v>10</v>
      </c>
      <c r="C35" s="14" t="s">
        <v>36</v>
      </c>
      <c r="D35" s="4">
        <f t="shared" si="20"/>
        <v>329200</v>
      </c>
      <c r="E35" s="4">
        <v>329500</v>
      </c>
      <c r="F35" s="4">
        <v>340425</v>
      </c>
      <c r="G35" s="4">
        <f t="shared" si="21"/>
        <v>334962.5</v>
      </c>
      <c r="H35" s="34">
        <f t="shared" si="22"/>
        <v>1.7307795648766652E-2</v>
      </c>
      <c r="I35" s="4">
        <f t="shared" si="23"/>
        <v>340800</v>
      </c>
      <c r="J35" s="8">
        <f t="shared" si="24"/>
        <v>118700</v>
      </c>
      <c r="K35" s="8">
        <v>119088</v>
      </c>
      <c r="L35" s="8">
        <v>120736</v>
      </c>
      <c r="M35" s="8">
        <f t="shared" si="25"/>
        <v>119912</v>
      </c>
      <c r="N35" s="44">
        <f t="shared" si="26"/>
        <v>0.01</v>
      </c>
      <c r="O35" s="8">
        <f t="shared" si="27"/>
        <v>121100</v>
      </c>
      <c r="P35" s="4">
        <f t="shared" si="28"/>
        <v>700</v>
      </c>
      <c r="Q35" s="4">
        <v>707</v>
      </c>
      <c r="R35" s="4">
        <v>17984</v>
      </c>
      <c r="S35" s="4">
        <f t="shared" si="29"/>
        <v>9345.5</v>
      </c>
      <c r="T35" s="34">
        <f t="shared" si="30"/>
        <v>0.92534861698143489</v>
      </c>
      <c r="U35" s="4">
        <f t="shared" si="31"/>
        <v>18000</v>
      </c>
      <c r="V35" s="8">
        <f t="shared" si="32"/>
        <v>124400</v>
      </c>
      <c r="W35" s="8">
        <v>124491</v>
      </c>
      <c r="X35" s="8">
        <v>144817</v>
      </c>
      <c r="Y35" s="8">
        <f t="shared" si="33"/>
        <v>134654</v>
      </c>
      <c r="Z35" s="44">
        <f t="shared" si="34"/>
        <v>7.6474920908402272E-2</v>
      </c>
      <c r="AA35" s="8">
        <f t="shared" si="35"/>
        <v>145000</v>
      </c>
      <c r="AB35" s="4">
        <f t="shared" si="36"/>
        <v>162300</v>
      </c>
      <c r="AC35" s="4">
        <v>162500</v>
      </c>
      <c r="AD35" s="4">
        <v>170604</v>
      </c>
      <c r="AE35" s="4">
        <f t="shared" si="37"/>
        <v>166552</v>
      </c>
      <c r="AF35" s="34">
        <f t="shared" si="38"/>
        <v>2.5328738171862243E-2</v>
      </c>
      <c r="AG35" s="4">
        <f t="shared" si="39"/>
        <v>170800</v>
      </c>
      <c r="AI35" s="21"/>
      <c r="AL35" s="21"/>
    </row>
    <row r="36" spans="2:38">
      <c r="B36" s="61">
        <v>11</v>
      </c>
      <c r="C36" s="14" t="s">
        <v>37</v>
      </c>
      <c r="D36" s="4">
        <f t="shared" si="20"/>
        <v>321800</v>
      </c>
      <c r="E36" s="4">
        <v>328200</v>
      </c>
      <c r="F36" s="4">
        <v>322134</v>
      </c>
      <c r="G36" s="4">
        <f t="shared" si="21"/>
        <v>325167</v>
      </c>
      <c r="H36" s="34">
        <f t="shared" si="22"/>
        <v>1.0327514784710626E-2</v>
      </c>
      <c r="I36" s="4">
        <f t="shared" si="23"/>
        <v>328500</v>
      </c>
      <c r="J36" s="8">
        <f t="shared" si="24"/>
        <v>104900</v>
      </c>
      <c r="K36" s="8">
        <v>108427</v>
      </c>
      <c r="L36" s="8">
        <v>105010</v>
      </c>
      <c r="M36" s="8">
        <f t="shared" si="25"/>
        <v>106718.5</v>
      </c>
      <c r="N36" s="44">
        <f t="shared" si="26"/>
        <v>1.7009407928334826E-2</v>
      </c>
      <c r="O36" s="8">
        <f t="shared" si="27"/>
        <v>108500</v>
      </c>
      <c r="P36" s="4">
        <f t="shared" si="28"/>
        <v>11300</v>
      </c>
      <c r="Q36" s="4">
        <v>11320</v>
      </c>
      <c r="R36" s="4">
        <v>21816</v>
      </c>
      <c r="S36" s="4">
        <f t="shared" si="29"/>
        <v>16568</v>
      </c>
      <c r="T36" s="34">
        <f t="shared" si="30"/>
        <v>0.31775519072911634</v>
      </c>
      <c r="U36" s="4">
        <f t="shared" si="31"/>
        <v>21800</v>
      </c>
      <c r="V36" s="8">
        <f t="shared" si="32"/>
        <v>176600</v>
      </c>
      <c r="W36" s="8">
        <v>179220</v>
      </c>
      <c r="X36" s="8">
        <v>177536</v>
      </c>
      <c r="Y36" s="8">
        <f t="shared" si="33"/>
        <v>178378</v>
      </c>
      <c r="Z36" s="44">
        <f t="shared" si="34"/>
        <v>0.01</v>
      </c>
      <c r="AA36" s="8">
        <f t="shared" si="35"/>
        <v>180200</v>
      </c>
      <c r="AB36" s="4">
        <f t="shared" si="36"/>
        <v>156300</v>
      </c>
      <c r="AC36" s="4">
        <v>171900</v>
      </c>
      <c r="AD36" s="4">
        <v>156468</v>
      </c>
      <c r="AE36" s="4">
        <f t="shared" si="37"/>
        <v>164184</v>
      </c>
      <c r="AF36" s="34">
        <f t="shared" si="38"/>
        <v>4.7996053208595235E-2</v>
      </c>
      <c r="AG36" s="4">
        <f t="shared" si="39"/>
        <v>172100</v>
      </c>
      <c r="AI36" s="21"/>
      <c r="AL36" s="21"/>
    </row>
    <row r="37" spans="2:38">
      <c r="B37" s="61">
        <v>12</v>
      </c>
      <c r="C37" s="14" t="s">
        <v>38</v>
      </c>
      <c r="D37" s="4">
        <f t="shared" si="20"/>
        <v>415600</v>
      </c>
      <c r="E37" s="4">
        <v>422200</v>
      </c>
      <c r="F37" s="4">
        <v>417356</v>
      </c>
      <c r="G37" s="4">
        <f t="shared" si="21"/>
        <v>419778</v>
      </c>
      <c r="H37" s="34">
        <f t="shared" si="22"/>
        <v>0.01</v>
      </c>
      <c r="I37" s="4">
        <f t="shared" si="23"/>
        <v>424000</v>
      </c>
      <c r="J37" s="8">
        <f t="shared" si="24"/>
        <v>108000</v>
      </c>
      <c r="K37" s="8">
        <v>114561</v>
      </c>
      <c r="L37" s="8">
        <v>108117</v>
      </c>
      <c r="M37" s="8">
        <f t="shared" si="25"/>
        <v>111339</v>
      </c>
      <c r="N37" s="44">
        <f t="shared" si="26"/>
        <v>2.9938646835340716E-2</v>
      </c>
      <c r="O37" s="8">
        <f t="shared" si="27"/>
        <v>114700</v>
      </c>
      <c r="P37" s="4">
        <f t="shared" si="28"/>
        <v>2200</v>
      </c>
      <c r="Q37" s="4">
        <v>2245</v>
      </c>
      <c r="R37" s="4">
        <v>25128</v>
      </c>
      <c r="S37" s="4">
        <f t="shared" si="29"/>
        <v>13686.5</v>
      </c>
      <c r="T37" s="34">
        <f t="shared" si="30"/>
        <v>0.83696975121470063</v>
      </c>
      <c r="U37" s="4">
        <f t="shared" si="31"/>
        <v>25100</v>
      </c>
      <c r="V37" s="8">
        <f t="shared" si="32"/>
        <v>116000</v>
      </c>
      <c r="W37" s="8">
        <v>116155</v>
      </c>
      <c r="X37" s="8">
        <v>120911</v>
      </c>
      <c r="Y37" s="8">
        <f t="shared" si="33"/>
        <v>118533</v>
      </c>
      <c r="Z37" s="44">
        <f t="shared" si="34"/>
        <v>2.1061923683699899E-2</v>
      </c>
      <c r="AA37" s="8">
        <f t="shared" si="35"/>
        <v>121000</v>
      </c>
      <c r="AB37" s="4">
        <f t="shared" si="36"/>
        <v>193500</v>
      </c>
      <c r="AC37" s="4">
        <v>208800</v>
      </c>
      <c r="AD37" s="4">
        <v>193693</v>
      </c>
      <c r="AE37" s="4">
        <f t="shared" si="37"/>
        <v>201246.5</v>
      </c>
      <c r="AF37" s="34">
        <f t="shared" si="38"/>
        <v>3.8533572012432515E-2</v>
      </c>
      <c r="AG37" s="4">
        <f t="shared" si="39"/>
        <v>209000</v>
      </c>
      <c r="AI37" s="21"/>
      <c r="AL37" s="21"/>
    </row>
    <row r="38" spans="2:38">
      <c r="B38" s="61">
        <v>13</v>
      </c>
      <c r="C38" s="14" t="s">
        <v>39</v>
      </c>
      <c r="D38" s="4">
        <f t="shared" si="20"/>
        <v>229800</v>
      </c>
      <c r="E38" s="4">
        <v>232000</v>
      </c>
      <c r="F38" s="4">
        <v>232277</v>
      </c>
      <c r="G38" s="4">
        <f t="shared" si="21"/>
        <v>232138.5</v>
      </c>
      <c r="H38" s="34">
        <f t="shared" si="22"/>
        <v>0.01</v>
      </c>
      <c r="I38" s="4">
        <f t="shared" si="23"/>
        <v>234500</v>
      </c>
      <c r="J38" s="8">
        <f t="shared" si="24"/>
        <v>73100</v>
      </c>
      <c r="K38" s="8">
        <v>74974</v>
      </c>
      <c r="L38" s="8">
        <v>73170</v>
      </c>
      <c r="M38" s="8">
        <f t="shared" si="25"/>
        <v>74072</v>
      </c>
      <c r="N38" s="44">
        <f t="shared" si="26"/>
        <v>1.3177340965547034E-2</v>
      </c>
      <c r="O38" s="8">
        <f t="shared" si="27"/>
        <v>75000</v>
      </c>
      <c r="P38" s="4">
        <f t="shared" si="28"/>
        <v>900</v>
      </c>
      <c r="Q38" s="4">
        <v>928</v>
      </c>
      <c r="R38" s="4">
        <v>15516</v>
      </c>
      <c r="S38" s="4">
        <f t="shared" si="29"/>
        <v>8222</v>
      </c>
      <c r="T38" s="34">
        <f t="shared" si="30"/>
        <v>0.88813208465093652</v>
      </c>
      <c r="U38" s="4">
        <f t="shared" si="31"/>
        <v>15500</v>
      </c>
      <c r="V38" s="8">
        <f t="shared" si="32"/>
        <v>56700</v>
      </c>
      <c r="W38" s="8">
        <v>61489</v>
      </c>
      <c r="X38" s="8">
        <v>56802</v>
      </c>
      <c r="Y38" s="8">
        <f t="shared" si="33"/>
        <v>59145.5</v>
      </c>
      <c r="Z38" s="44">
        <f t="shared" si="34"/>
        <v>4.0622625559002798E-2</v>
      </c>
      <c r="AA38" s="8">
        <f t="shared" si="35"/>
        <v>61500</v>
      </c>
      <c r="AB38" s="4">
        <f t="shared" si="36"/>
        <v>116500</v>
      </c>
      <c r="AC38" s="4">
        <v>116600</v>
      </c>
      <c r="AD38" s="4">
        <v>120267</v>
      </c>
      <c r="AE38" s="4">
        <f t="shared" si="37"/>
        <v>118433.5</v>
      </c>
      <c r="AF38" s="34">
        <f t="shared" si="38"/>
        <v>1.64812616362769E-2</v>
      </c>
      <c r="AG38" s="4">
        <f t="shared" si="39"/>
        <v>120400</v>
      </c>
      <c r="AI38" s="21"/>
      <c r="AL38" s="21"/>
    </row>
    <row r="39" spans="2:38">
      <c r="B39" s="61">
        <v>14</v>
      </c>
      <c r="C39" s="15" t="s">
        <v>40</v>
      </c>
      <c r="D39" s="27">
        <f t="shared" si="20"/>
        <v>118400</v>
      </c>
      <c r="E39" s="27">
        <v>120700</v>
      </c>
      <c r="F39" s="27">
        <v>118523</v>
      </c>
      <c r="G39" s="27">
        <f t="shared" si="21"/>
        <v>119611.5</v>
      </c>
      <c r="H39" s="35">
        <f t="shared" si="22"/>
        <v>1.0100295540144553E-2</v>
      </c>
      <c r="I39" s="27">
        <f t="shared" si="23"/>
        <v>120800</v>
      </c>
      <c r="J39" s="30">
        <f t="shared" si="24"/>
        <v>34700</v>
      </c>
      <c r="K39" s="30">
        <v>37384</v>
      </c>
      <c r="L39" s="30">
        <v>34704</v>
      </c>
      <c r="M39" s="30">
        <f t="shared" si="25"/>
        <v>36044</v>
      </c>
      <c r="N39" s="48">
        <f t="shared" si="26"/>
        <v>3.8176783930751308E-2</v>
      </c>
      <c r="O39" s="30">
        <f t="shared" si="27"/>
        <v>37400</v>
      </c>
      <c r="P39" s="27">
        <f t="shared" si="28"/>
        <v>1200</v>
      </c>
      <c r="Q39" s="17">
        <v>1212</v>
      </c>
      <c r="R39" s="17">
        <v>7967</v>
      </c>
      <c r="S39" s="27">
        <f t="shared" si="29"/>
        <v>4589.5</v>
      </c>
      <c r="T39" s="35">
        <f t="shared" si="30"/>
        <v>0.73691894541889091</v>
      </c>
      <c r="U39" s="27">
        <f t="shared" si="31"/>
        <v>8000</v>
      </c>
      <c r="V39" s="30">
        <f t="shared" si="32"/>
        <v>48500</v>
      </c>
      <c r="W39" s="30">
        <v>48572</v>
      </c>
      <c r="X39" s="30">
        <v>49443</v>
      </c>
      <c r="Y39" s="30">
        <f t="shared" si="33"/>
        <v>49007.5</v>
      </c>
      <c r="Z39" s="48">
        <f t="shared" si="34"/>
        <v>0.01</v>
      </c>
      <c r="AA39" s="30">
        <f t="shared" si="35"/>
        <v>49500</v>
      </c>
      <c r="AB39" s="27">
        <f t="shared" si="36"/>
        <v>56200</v>
      </c>
      <c r="AC39" s="17">
        <v>59400</v>
      </c>
      <c r="AD39" s="17">
        <v>56229</v>
      </c>
      <c r="AE39" s="27">
        <f t="shared" si="37"/>
        <v>57814.5</v>
      </c>
      <c r="AF39" s="35">
        <f t="shared" si="38"/>
        <v>2.8423916145603613E-2</v>
      </c>
      <c r="AG39" s="27">
        <f t="shared" si="39"/>
        <v>59500</v>
      </c>
      <c r="AI39" s="21"/>
      <c r="AL39" s="21"/>
    </row>
    <row r="40" spans="2:38">
      <c r="B40" s="61">
        <v>15</v>
      </c>
      <c r="C40" s="14" t="s">
        <v>41</v>
      </c>
      <c r="D40" s="4">
        <f t="shared" si="20"/>
        <v>211100</v>
      </c>
      <c r="E40" s="4">
        <v>226700</v>
      </c>
      <c r="F40" s="4">
        <v>211317</v>
      </c>
      <c r="G40" s="4">
        <f t="shared" si="21"/>
        <v>219008.5</v>
      </c>
      <c r="H40" s="34">
        <f t="shared" si="22"/>
        <v>3.6119641475102562E-2</v>
      </c>
      <c r="I40" s="4">
        <f t="shared" si="23"/>
        <v>226900</v>
      </c>
      <c r="J40" s="8">
        <f t="shared" si="24"/>
        <v>72300</v>
      </c>
      <c r="K40" s="8">
        <v>79828</v>
      </c>
      <c r="L40" s="8">
        <v>72351</v>
      </c>
      <c r="M40" s="8">
        <f t="shared" si="25"/>
        <v>76089.5</v>
      </c>
      <c r="N40" s="46">
        <f t="shared" si="26"/>
        <v>5.0132928984945362E-2</v>
      </c>
      <c r="O40" s="8">
        <f t="shared" si="27"/>
        <v>79900</v>
      </c>
      <c r="P40" s="4">
        <f t="shared" si="28"/>
        <v>800</v>
      </c>
      <c r="Q40" s="4">
        <v>807</v>
      </c>
      <c r="R40" s="4">
        <v>13826</v>
      </c>
      <c r="S40" s="4">
        <f t="shared" si="29"/>
        <v>7316.5</v>
      </c>
      <c r="T40" s="34">
        <f t="shared" si="30"/>
        <v>0.89070135993986199</v>
      </c>
      <c r="U40" s="4">
        <f t="shared" si="31"/>
        <v>13800</v>
      </c>
      <c r="V40" s="8">
        <f t="shared" si="32"/>
        <v>136100</v>
      </c>
      <c r="W40" s="8">
        <v>136876</v>
      </c>
      <c r="X40" s="8">
        <v>138064</v>
      </c>
      <c r="Y40" s="8">
        <f t="shared" si="33"/>
        <v>137470</v>
      </c>
      <c r="Z40" s="46">
        <f t="shared" si="34"/>
        <v>0.01</v>
      </c>
      <c r="AA40" s="8">
        <f t="shared" si="35"/>
        <v>138800</v>
      </c>
      <c r="AB40" s="4">
        <f t="shared" si="36"/>
        <v>114900</v>
      </c>
      <c r="AC40" s="4">
        <v>117500</v>
      </c>
      <c r="AD40" s="4">
        <v>114970</v>
      </c>
      <c r="AE40" s="4">
        <f t="shared" si="37"/>
        <v>116235</v>
      </c>
      <c r="AF40" s="34">
        <f t="shared" si="38"/>
        <v>1.1883124704262917E-2</v>
      </c>
      <c r="AG40" s="4">
        <f t="shared" si="39"/>
        <v>117600</v>
      </c>
      <c r="AI40" s="21"/>
      <c r="AL40" s="21"/>
    </row>
    <row r="41" spans="2:38">
      <c r="B41" s="61">
        <v>16</v>
      </c>
      <c r="C41" s="14" t="s">
        <v>42</v>
      </c>
      <c r="D41" s="4">
        <f t="shared" si="20"/>
        <v>342800</v>
      </c>
      <c r="E41" s="4">
        <v>348300</v>
      </c>
      <c r="F41" s="4">
        <v>344238</v>
      </c>
      <c r="G41" s="4">
        <f t="shared" si="21"/>
        <v>346269</v>
      </c>
      <c r="H41" s="34">
        <f t="shared" si="22"/>
        <v>0.01</v>
      </c>
      <c r="I41" s="4">
        <f t="shared" si="23"/>
        <v>349700</v>
      </c>
      <c r="J41" s="8">
        <f t="shared" si="24"/>
        <v>104900</v>
      </c>
      <c r="K41" s="8">
        <v>107675</v>
      </c>
      <c r="L41" s="8">
        <v>105035</v>
      </c>
      <c r="M41" s="8">
        <f t="shared" si="25"/>
        <v>106355</v>
      </c>
      <c r="N41" s="46">
        <f t="shared" si="26"/>
        <v>1.3411264162474731E-2</v>
      </c>
      <c r="O41" s="8">
        <f t="shared" si="27"/>
        <v>107800</v>
      </c>
      <c r="P41" s="4">
        <f t="shared" si="28"/>
        <v>1500</v>
      </c>
      <c r="Q41" s="4">
        <v>1525</v>
      </c>
      <c r="R41" s="4">
        <v>21443</v>
      </c>
      <c r="S41" s="4">
        <f t="shared" si="29"/>
        <v>11484</v>
      </c>
      <c r="T41" s="34">
        <f t="shared" si="30"/>
        <v>0.86820654824103105</v>
      </c>
      <c r="U41" s="4">
        <f t="shared" si="31"/>
        <v>21500</v>
      </c>
      <c r="V41" s="8">
        <f t="shared" si="32"/>
        <v>141500</v>
      </c>
      <c r="W41" s="8">
        <v>160563</v>
      </c>
      <c r="X41" s="8">
        <v>141624</v>
      </c>
      <c r="Y41" s="8">
        <f t="shared" si="33"/>
        <v>151093.5</v>
      </c>
      <c r="Z41" s="46">
        <f t="shared" si="34"/>
        <v>6.3673113006184917E-2</v>
      </c>
      <c r="AA41" s="8">
        <f t="shared" si="35"/>
        <v>160700</v>
      </c>
      <c r="AB41" s="4">
        <f t="shared" si="36"/>
        <v>175100</v>
      </c>
      <c r="AC41" s="4">
        <v>175300</v>
      </c>
      <c r="AD41" s="4">
        <v>189854</v>
      </c>
      <c r="AE41" s="4">
        <f t="shared" si="37"/>
        <v>182577</v>
      </c>
      <c r="AF41" s="34">
        <f t="shared" si="38"/>
        <v>4.085715615877137E-2</v>
      </c>
      <c r="AG41" s="4">
        <f t="shared" si="39"/>
        <v>190000</v>
      </c>
      <c r="AI41" s="21"/>
      <c r="AL41" s="21"/>
    </row>
    <row r="42" spans="2:38">
      <c r="B42" s="61">
        <v>17</v>
      </c>
      <c r="C42" s="14" t="s">
        <v>43</v>
      </c>
      <c r="D42" s="4">
        <f t="shared" si="20"/>
        <v>376000</v>
      </c>
      <c r="E42" s="4">
        <v>389100</v>
      </c>
      <c r="F42" s="4">
        <v>376347</v>
      </c>
      <c r="G42" s="4">
        <f t="shared" si="21"/>
        <v>382723.5</v>
      </c>
      <c r="H42" s="34">
        <f t="shared" si="22"/>
        <v>1.7660853070166845E-2</v>
      </c>
      <c r="I42" s="4">
        <f t="shared" si="23"/>
        <v>389500</v>
      </c>
      <c r="J42" s="8">
        <f t="shared" si="24"/>
        <v>120300</v>
      </c>
      <c r="K42" s="8">
        <v>127965</v>
      </c>
      <c r="L42" s="8">
        <v>120401</v>
      </c>
      <c r="M42" s="8">
        <f t="shared" si="25"/>
        <v>124183</v>
      </c>
      <c r="N42" s="46">
        <f t="shared" si="26"/>
        <v>3.1455054234476539E-2</v>
      </c>
      <c r="O42" s="8">
        <f t="shared" si="27"/>
        <v>128100</v>
      </c>
      <c r="P42" s="4">
        <f t="shared" si="28"/>
        <v>3000</v>
      </c>
      <c r="Q42" s="4">
        <v>3057</v>
      </c>
      <c r="R42" s="4">
        <v>24286</v>
      </c>
      <c r="S42" s="4">
        <f t="shared" si="29"/>
        <v>13671.5</v>
      </c>
      <c r="T42" s="34">
        <f t="shared" si="30"/>
        <v>0.77739615258018502</v>
      </c>
      <c r="U42" s="4">
        <f t="shared" si="31"/>
        <v>24300</v>
      </c>
      <c r="V42" s="8">
        <f t="shared" si="32"/>
        <v>156400</v>
      </c>
      <c r="W42" s="8">
        <v>163205</v>
      </c>
      <c r="X42" s="8">
        <v>156576</v>
      </c>
      <c r="Y42" s="8">
        <f t="shared" si="33"/>
        <v>159890.5</v>
      </c>
      <c r="Z42" s="46">
        <f t="shared" si="34"/>
        <v>2.172981196506359E-2</v>
      </c>
      <c r="AA42" s="8">
        <f t="shared" si="35"/>
        <v>163400</v>
      </c>
      <c r="AB42" s="4">
        <f t="shared" si="36"/>
        <v>191700</v>
      </c>
      <c r="AC42" s="4">
        <v>195300</v>
      </c>
      <c r="AD42" s="4">
        <v>192056</v>
      </c>
      <c r="AE42" s="4">
        <f t="shared" si="37"/>
        <v>193678</v>
      </c>
      <c r="AF42" s="34">
        <f t="shared" si="38"/>
        <v>0.01</v>
      </c>
      <c r="AG42" s="4">
        <f t="shared" si="39"/>
        <v>195600</v>
      </c>
      <c r="AI42" s="21"/>
      <c r="AL42" s="21"/>
    </row>
    <row r="43" spans="2:38">
      <c r="B43" s="61">
        <v>18</v>
      </c>
      <c r="C43" s="14" t="s">
        <v>44</v>
      </c>
      <c r="D43" s="4">
        <f t="shared" si="20"/>
        <v>475100</v>
      </c>
      <c r="E43" s="4">
        <v>475700</v>
      </c>
      <c r="F43" s="4">
        <v>484047</v>
      </c>
      <c r="G43" s="4">
        <f t="shared" si="21"/>
        <v>479873.5</v>
      </c>
      <c r="H43" s="34">
        <f t="shared" si="22"/>
        <v>0.01</v>
      </c>
      <c r="I43" s="4">
        <f t="shared" si="23"/>
        <v>484700</v>
      </c>
      <c r="J43" s="8">
        <f t="shared" si="24"/>
        <v>179200</v>
      </c>
      <c r="K43" s="8">
        <v>181443</v>
      </c>
      <c r="L43" s="8">
        <v>180534</v>
      </c>
      <c r="M43" s="8">
        <f t="shared" si="25"/>
        <v>180988.5</v>
      </c>
      <c r="N43" s="46">
        <f t="shared" si="26"/>
        <v>0.01</v>
      </c>
      <c r="O43" s="8">
        <f t="shared" si="27"/>
        <v>182800</v>
      </c>
      <c r="P43" s="4">
        <f t="shared" si="28"/>
        <v>5900</v>
      </c>
      <c r="Q43" s="4">
        <v>5941</v>
      </c>
      <c r="R43" s="4">
        <v>29302</v>
      </c>
      <c r="S43" s="4">
        <f t="shared" si="29"/>
        <v>17621.5</v>
      </c>
      <c r="T43" s="34">
        <f t="shared" si="30"/>
        <v>0.66385503504241983</v>
      </c>
      <c r="U43" s="4">
        <f t="shared" si="31"/>
        <v>29300</v>
      </c>
      <c r="V43" s="8">
        <f t="shared" si="32"/>
        <v>223000</v>
      </c>
      <c r="W43" s="8">
        <v>223243</v>
      </c>
      <c r="X43" s="8">
        <v>275263</v>
      </c>
      <c r="Y43" s="8">
        <f t="shared" si="33"/>
        <v>249253</v>
      </c>
      <c r="Z43" s="46">
        <f t="shared" si="34"/>
        <v>0.10535180318792552</v>
      </c>
      <c r="AA43" s="8">
        <f t="shared" si="35"/>
        <v>275500</v>
      </c>
      <c r="AB43" s="4">
        <f t="shared" si="36"/>
        <v>242000</v>
      </c>
      <c r="AC43" s="4">
        <v>242200</v>
      </c>
      <c r="AD43" s="4">
        <v>249878</v>
      </c>
      <c r="AE43" s="4">
        <f t="shared" si="37"/>
        <v>246039</v>
      </c>
      <c r="AF43" s="34">
        <f t="shared" si="38"/>
        <v>1.6603217376107041E-2</v>
      </c>
      <c r="AG43" s="4">
        <f t="shared" si="39"/>
        <v>250100</v>
      </c>
      <c r="AI43" s="21"/>
      <c r="AL43" s="21"/>
    </row>
    <row r="44" spans="2:38">
      <c r="B44" s="61">
        <v>19</v>
      </c>
      <c r="C44" s="16" t="s">
        <v>45</v>
      </c>
      <c r="D44" s="27">
        <f t="shared" si="20"/>
        <v>179500</v>
      </c>
      <c r="E44" s="27">
        <v>181600</v>
      </c>
      <c r="F44" s="27">
        <v>181055</v>
      </c>
      <c r="G44" s="27">
        <f t="shared" si="21"/>
        <v>181327.5</v>
      </c>
      <c r="H44" s="35">
        <f t="shared" si="22"/>
        <v>0.01</v>
      </c>
      <c r="I44" s="27">
        <f t="shared" si="23"/>
        <v>183100</v>
      </c>
      <c r="J44" s="30">
        <f t="shared" si="24"/>
        <v>72000</v>
      </c>
      <c r="K44" s="30">
        <v>72113</v>
      </c>
      <c r="L44" s="30">
        <v>73303</v>
      </c>
      <c r="M44" s="30">
        <f t="shared" si="25"/>
        <v>72708</v>
      </c>
      <c r="N44" s="48">
        <f t="shared" si="26"/>
        <v>0.01</v>
      </c>
      <c r="O44" s="30">
        <f t="shared" si="27"/>
        <v>73400</v>
      </c>
      <c r="P44" s="27">
        <f t="shared" si="28"/>
        <v>8500</v>
      </c>
      <c r="Q44" s="17">
        <v>13382</v>
      </c>
      <c r="R44" s="17">
        <v>8480</v>
      </c>
      <c r="S44" s="27">
        <f t="shared" si="29"/>
        <v>10931</v>
      </c>
      <c r="T44" s="35">
        <f t="shared" si="30"/>
        <v>0.22522468209678895</v>
      </c>
      <c r="U44" s="27">
        <f t="shared" si="31"/>
        <v>13400</v>
      </c>
      <c r="V44" s="30">
        <f t="shared" si="32"/>
        <v>118600</v>
      </c>
      <c r="W44" s="30">
        <v>118743</v>
      </c>
      <c r="X44" s="30">
        <v>155266</v>
      </c>
      <c r="Y44" s="30">
        <f t="shared" si="33"/>
        <v>137004.5</v>
      </c>
      <c r="Z44" s="48">
        <f t="shared" si="34"/>
        <v>0.13429124225846598</v>
      </c>
      <c r="AA44" s="30">
        <f t="shared" si="35"/>
        <v>155400</v>
      </c>
      <c r="AB44" s="27">
        <f t="shared" si="36"/>
        <v>97300</v>
      </c>
      <c r="AC44" s="17">
        <v>97400</v>
      </c>
      <c r="AD44" s="17">
        <v>103720</v>
      </c>
      <c r="AE44" s="27">
        <f t="shared" si="37"/>
        <v>100560</v>
      </c>
      <c r="AF44" s="35">
        <f t="shared" si="38"/>
        <v>3.2424025457438346E-2</v>
      </c>
      <c r="AG44" s="27">
        <f t="shared" si="39"/>
        <v>103800</v>
      </c>
      <c r="AI44" s="21"/>
      <c r="AL44" s="21"/>
    </row>
    <row r="45" spans="2:38">
      <c r="B45" s="61">
        <v>20</v>
      </c>
      <c r="C45" s="14" t="s">
        <v>46</v>
      </c>
      <c r="D45" s="4">
        <f t="shared" si="20"/>
        <v>261500</v>
      </c>
      <c r="E45" s="4">
        <v>263700</v>
      </c>
      <c r="F45" s="4">
        <v>264575</v>
      </c>
      <c r="G45" s="4">
        <f t="shared" si="21"/>
        <v>264137.5</v>
      </c>
      <c r="H45" s="34">
        <f t="shared" si="22"/>
        <v>0.01</v>
      </c>
      <c r="I45" s="4">
        <f t="shared" si="23"/>
        <v>266800</v>
      </c>
      <c r="J45" s="8">
        <f t="shared" si="24"/>
        <v>88700</v>
      </c>
      <c r="K45" s="8">
        <v>90265</v>
      </c>
      <c r="L45" s="8">
        <v>88964</v>
      </c>
      <c r="M45" s="8">
        <f t="shared" si="25"/>
        <v>89614.5</v>
      </c>
      <c r="N45" s="46">
        <f t="shared" si="26"/>
        <v>0.01</v>
      </c>
      <c r="O45" s="8">
        <f t="shared" si="27"/>
        <v>90500</v>
      </c>
      <c r="P45" s="4">
        <f t="shared" si="28"/>
        <v>1100</v>
      </c>
      <c r="Q45" s="4">
        <v>1078</v>
      </c>
      <c r="R45" s="4">
        <v>15053</v>
      </c>
      <c r="S45" s="4">
        <f t="shared" si="29"/>
        <v>8065.5</v>
      </c>
      <c r="T45" s="34">
        <f t="shared" si="30"/>
        <v>0.86734430599466861</v>
      </c>
      <c r="U45" s="4">
        <f t="shared" si="31"/>
        <v>15100</v>
      </c>
      <c r="V45" s="8">
        <f t="shared" si="32"/>
        <v>74800</v>
      </c>
      <c r="W45" s="8">
        <v>74876</v>
      </c>
      <c r="X45" s="8">
        <v>79257</v>
      </c>
      <c r="Y45" s="8">
        <f t="shared" si="33"/>
        <v>77066.5</v>
      </c>
      <c r="Z45" s="46">
        <f t="shared" si="34"/>
        <v>2.942350437609078E-2</v>
      </c>
      <c r="AA45" s="8">
        <f t="shared" si="35"/>
        <v>79300</v>
      </c>
      <c r="AB45" s="4">
        <f t="shared" si="36"/>
        <v>130000</v>
      </c>
      <c r="AC45" s="4">
        <v>130100</v>
      </c>
      <c r="AD45" s="4">
        <v>133800</v>
      </c>
      <c r="AE45" s="4">
        <f t="shared" si="37"/>
        <v>131950</v>
      </c>
      <c r="AF45" s="34">
        <f t="shared" si="38"/>
        <v>1.5020462296324366E-2</v>
      </c>
      <c r="AG45" s="4">
        <f t="shared" si="39"/>
        <v>133900</v>
      </c>
      <c r="AI45" s="21"/>
      <c r="AL45" s="21"/>
    </row>
    <row r="46" spans="2:38">
      <c r="B46" s="61">
        <v>21</v>
      </c>
      <c r="C46" s="14" t="s">
        <v>47</v>
      </c>
      <c r="D46" s="4">
        <f t="shared" si="20"/>
        <v>235000</v>
      </c>
      <c r="E46" s="4">
        <v>241300</v>
      </c>
      <c r="F46" s="4">
        <v>235287</v>
      </c>
      <c r="G46" s="4">
        <f t="shared" si="21"/>
        <v>238293.5</v>
      </c>
      <c r="H46" s="34">
        <f t="shared" si="22"/>
        <v>1.361679399563983E-2</v>
      </c>
      <c r="I46" s="4">
        <f t="shared" si="23"/>
        <v>241500</v>
      </c>
      <c r="J46" s="8">
        <f t="shared" si="24"/>
        <v>84700</v>
      </c>
      <c r="K46" s="8">
        <v>89414</v>
      </c>
      <c r="L46" s="8">
        <v>84786</v>
      </c>
      <c r="M46" s="8">
        <f t="shared" si="25"/>
        <v>87100</v>
      </c>
      <c r="N46" s="46">
        <f t="shared" si="26"/>
        <v>2.7567164179104479E-2</v>
      </c>
      <c r="O46" s="8">
        <f t="shared" si="27"/>
        <v>89500</v>
      </c>
      <c r="P46" s="4">
        <f t="shared" si="28"/>
        <v>1100</v>
      </c>
      <c r="Q46" s="4">
        <v>1114</v>
      </c>
      <c r="R46" s="4">
        <v>15132</v>
      </c>
      <c r="S46" s="4">
        <f t="shared" si="29"/>
        <v>8123</v>
      </c>
      <c r="T46" s="34">
        <f t="shared" si="30"/>
        <v>0.86385854979687304</v>
      </c>
      <c r="U46" s="4">
        <f t="shared" si="31"/>
        <v>15100</v>
      </c>
      <c r="V46" s="8">
        <f t="shared" si="32"/>
        <v>119000</v>
      </c>
      <c r="W46" s="8">
        <v>119116</v>
      </c>
      <c r="X46" s="8">
        <v>121453</v>
      </c>
      <c r="Y46" s="8">
        <f t="shared" si="33"/>
        <v>120284.5</v>
      </c>
      <c r="Z46" s="46">
        <f t="shared" si="34"/>
        <v>1.0714468613994322E-2</v>
      </c>
      <c r="AA46" s="8">
        <f t="shared" si="35"/>
        <v>121600</v>
      </c>
      <c r="AB46" s="4">
        <f t="shared" si="36"/>
        <v>123600</v>
      </c>
      <c r="AC46" s="4">
        <v>123700</v>
      </c>
      <c r="AD46" s="4">
        <v>135634</v>
      </c>
      <c r="AE46" s="4">
        <f t="shared" si="37"/>
        <v>129667</v>
      </c>
      <c r="AF46" s="34">
        <f t="shared" si="38"/>
        <v>4.7017876560728637E-2</v>
      </c>
      <c r="AG46" s="4">
        <f t="shared" si="39"/>
        <v>135800</v>
      </c>
      <c r="AI46" s="21"/>
      <c r="AL46" s="21"/>
    </row>
    <row r="47" spans="2:38">
      <c r="B47" s="61">
        <v>22</v>
      </c>
      <c r="C47" s="14" t="s">
        <v>48</v>
      </c>
      <c r="D47" s="4">
        <f t="shared" si="20"/>
        <v>148100</v>
      </c>
      <c r="E47" s="4">
        <v>149200</v>
      </c>
      <c r="F47" s="4">
        <v>149894</v>
      </c>
      <c r="G47" s="4">
        <f t="shared" si="21"/>
        <v>149547</v>
      </c>
      <c r="H47" s="34">
        <f t="shared" si="22"/>
        <v>0.01</v>
      </c>
      <c r="I47" s="4">
        <f t="shared" si="23"/>
        <v>151000</v>
      </c>
      <c r="J47" s="8">
        <f t="shared" si="24"/>
        <v>60100</v>
      </c>
      <c r="K47" s="8">
        <v>60928</v>
      </c>
      <c r="L47" s="8">
        <v>60498</v>
      </c>
      <c r="M47" s="8">
        <f t="shared" si="25"/>
        <v>60713</v>
      </c>
      <c r="N47" s="46">
        <f t="shared" si="26"/>
        <v>0.01</v>
      </c>
      <c r="O47" s="8">
        <f t="shared" si="27"/>
        <v>61300</v>
      </c>
      <c r="P47" s="4">
        <f t="shared" si="28"/>
        <v>2000</v>
      </c>
      <c r="Q47" s="4">
        <v>2014</v>
      </c>
      <c r="R47" s="4">
        <v>6779</v>
      </c>
      <c r="S47" s="4">
        <f t="shared" si="29"/>
        <v>4396.5</v>
      </c>
      <c r="T47" s="34">
        <f t="shared" si="30"/>
        <v>0.54290833617650402</v>
      </c>
      <c r="U47" s="4">
        <f t="shared" si="31"/>
        <v>6800</v>
      </c>
      <c r="V47" s="8">
        <f t="shared" si="32"/>
        <v>80800</v>
      </c>
      <c r="W47" s="8">
        <v>82201</v>
      </c>
      <c r="X47" s="8">
        <v>80970</v>
      </c>
      <c r="Y47" s="8">
        <f t="shared" si="33"/>
        <v>81585.5</v>
      </c>
      <c r="Z47" s="46">
        <f t="shared" si="34"/>
        <v>0.01</v>
      </c>
      <c r="AA47" s="8">
        <f t="shared" si="35"/>
        <v>82400</v>
      </c>
      <c r="AB47" s="4">
        <f t="shared" si="36"/>
        <v>69600</v>
      </c>
      <c r="AC47" s="4">
        <v>69700</v>
      </c>
      <c r="AD47" s="4">
        <v>84029</v>
      </c>
      <c r="AE47" s="4">
        <f t="shared" si="37"/>
        <v>76864.5</v>
      </c>
      <c r="AF47" s="34">
        <f t="shared" si="38"/>
        <v>9.420947901827241E-2</v>
      </c>
      <c r="AG47" s="4">
        <f t="shared" si="39"/>
        <v>84100</v>
      </c>
      <c r="AI47" s="21"/>
      <c r="AL47" s="21"/>
    </row>
    <row r="48" spans="2:38">
      <c r="B48" s="61">
        <v>23</v>
      </c>
      <c r="C48" s="14" t="s">
        <v>49</v>
      </c>
      <c r="D48" s="4">
        <f t="shared" si="20"/>
        <v>152200</v>
      </c>
      <c r="E48" s="4">
        <v>152400</v>
      </c>
      <c r="F48" s="4">
        <v>161813</v>
      </c>
      <c r="G48" s="4">
        <f t="shared" si="21"/>
        <v>157106.5</v>
      </c>
      <c r="H48" s="34">
        <f t="shared" si="22"/>
        <v>3.0957385595121782E-2</v>
      </c>
      <c r="I48" s="4">
        <f t="shared" si="23"/>
        <v>162000</v>
      </c>
      <c r="J48" s="8">
        <f t="shared" si="24"/>
        <v>52200</v>
      </c>
      <c r="K48" s="8">
        <v>52226</v>
      </c>
      <c r="L48" s="8">
        <v>54521</v>
      </c>
      <c r="M48" s="8">
        <f t="shared" si="25"/>
        <v>53373.5</v>
      </c>
      <c r="N48" s="46">
        <f t="shared" si="26"/>
        <v>2.2499433239341622E-2</v>
      </c>
      <c r="O48" s="8">
        <f t="shared" si="27"/>
        <v>54600</v>
      </c>
      <c r="P48" s="4">
        <f t="shared" si="28"/>
        <v>300</v>
      </c>
      <c r="Q48" s="4">
        <v>279</v>
      </c>
      <c r="R48" s="4">
        <v>8376</v>
      </c>
      <c r="S48" s="4">
        <f t="shared" si="29"/>
        <v>4327.5</v>
      </c>
      <c r="T48" s="34">
        <f t="shared" si="30"/>
        <v>0.9365285961871751</v>
      </c>
      <c r="U48" s="4">
        <f t="shared" si="31"/>
        <v>8400</v>
      </c>
      <c r="V48" s="8">
        <f t="shared" si="32"/>
        <v>66200</v>
      </c>
      <c r="W48" s="8">
        <v>71744</v>
      </c>
      <c r="X48" s="8">
        <v>66298</v>
      </c>
      <c r="Y48" s="8">
        <f t="shared" si="33"/>
        <v>69021</v>
      </c>
      <c r="Z48" s="46">
        <f t="shared" si="34"/>
        <v>4.0451761058228654E-2</v>
      </c>
      <c r="AA48" s="8">
        <f t="shared" si="35"/>
        <v>71800</v>
      </c>
      <c r="AB48" s="4">
        <f t="shared" si="36"/>
        <v>71900</v>
      </c>
      <c r="AC48" s="4">
        <v>72000</v>
      </c>
      <c r="AD48" s="4">
        <v>94402</v>
      </c>
      <c r="AE48" s="4">
        <f t="shared" si="37"/>
        <v>83201</v>
      </c>
      <c r="AF48" s="34">
        <f t="shared" si="38"/>
        <v>0.13562578574776746</v>
      </c>
      <c r="AG48" s="4">
        <f t="shared" si="39"/>
        <v>94500</v>
      </c>
      <c r="AI48" s="21"/>
      <c r="AL48" s="21"/>
    </row>
    <row r="49" spans="2:38">
      <c r="B49" s="61">
        <v>24</v>
      </c>
      <c r="C49" s="16" t="s">
        <v>50</v>
      </c>
      <c r="D49" s="27">
        <f t="shared" si="20"/>
        <v>309100</v>
      </c>
      <c r="E49" s="27">
        <v>312400</v>
      </c>
      <c r="F49" s="27">
        <v>312073</v>
      </c>
      <c r="G49" s="27">
        <f t="shared" si="21"/>
        <v>312236.5</v>
      </c>
      <c r="H49" s="35">
        <f t="shared" si="22"/>
        <v>0.01</v>
      </c>
      <c r="I49" s="27">
        <f t="shared" si="23"/>
        <v>315400</v>
      </c>
      <c r="J49" s="30">
        <f t="shared" si="24"/>
        <v>93700</v>
      </c>
      <c r="K49" s="30">
        <v>96764</v>
      </c>
      <c r="L49" s="30">
        <v>93768</v>
      </c>
      <c r="M49" s="30">
        <f t="shared" si="25"/>
        <v>95266</v>
      </c>
      <c r="N49" s="48">
        <f t="shared" si="26"/>
        <v>1.6724392752923395E-2</v>
      </c>
      <c r="O49" s="30">
        <f t="shared" si="27"/>
        <v>96900</v>
      </c>
      <c r="P49" s="27">
        <f t="shared" si="28"/>
        <v>1000</v>
      </c>
      <c r="Q49" s="17">
        <v>1001</v>
      </c>
      <c r="R49" s="17">
        <v>19980</v>
      </c>
      <c r="S49" s="27">
        <f t="shared" si="29"/>
        <v>10490.5</v>
      </c>
      <c r="T49" s="35">
        <f t="shared" si="30"/>
        <v>0.90558033458843712</v>
      </c>
      <c r="U49" s="27">
        <f t="shared" si="31"/>
        <v>20000</v>
      </c>
      <c r="V49" s="30">
        <f t="shared" si="32"/>
        <v>55500</v>
      </c>
      <c r="W49" s="30">
        <v>67973</v>
      </c>
      <c r="X49" s="30">
        <v>55524</v>
      </c>
      <c r="Y49" s="30">
        <f t="shared" si="33"/>
        <v>61748.5</v>
      </c>
      <c r="Z49" s="48">
        <f t="shared" si="34"/>
        <v>0.10180406811501494</v>
      </c>
      <c r="AA49" s="30">
        <f t="shared" si="35"/>
        <v>68000</v>
      </c>
      <c r="AB49" s="27">
        <f t="shared" si="36"/>
        <v>140600</v>
      </c>
      <c r="AC49" s="17">
        <v>140700</v>
      </c>
      <c r="AD49" s="17">
        <v>145533</v>
      </c>
      <c r="AE49" s="27">
        <f t="shared" si="37"/>
        <v>143116.5</v>
      </c>
      <c r="AF49" s="35">
        <f t="shared" si="38"/>
        <v>1.7884845562880593E-2</v>
      </c>
      <c r="AG49" s="27">
        <f t="shared" si="39"/>
        <v>145700</v>
      </c>
      <c r="AI49" s="21"/>
      <c r="AL49" s="21"/>
    </row>
    <row r="50" spans="2:38">
      <c r="B50" s="61">
        <v>25</v>
      </c>
      <c r="C50" s="14" t="s">
        <v>51</v>
      </c>
      <c r="D50" s="4">
        <f t="shared" si="20"/>
        <v>148800</v>
      </c>
      <c r="E50" s="4">
        <v>149000</v>
      </c>
      <c r="F50" s="4">
        <v>154155</v>
      </c>
      <c r="G50" s="4">
        <f t="shared" si="21"/>
        <v>151577.5</v>
      </c>
      <c r="H50" s="36">
        <f t="shared" si="22"/>
        <v>1.8004502647160695E-2</v>
      </c>
      <c r="I50" s="4">
        <f t="shared" si="23"/>
        <v>154300</v>
      </c>
      <c r="J50" s="8">
        <f t="shared" si="24"/>
        <v>52300</v>
      </c>
      <c r="K50" s="8">
        <v>53207</v>
      </c>
      <c r="L50" s="8">
        <v>52520</v>
      </c>
      <c r="M50" s="8">
        <f t="shared" si="25"/>
        <v>52863.5</v>
      </c>
      <c r="N50" s="44">
        <f t="shared" si="26"/>
        <v>0.01</v>
      </c>
      <c r="O50" s="8">
        <f t="shared" si="27"/>
        <v>53400</v>
      </c>
      <c r="P50" s="4">
        <f t="shared" si="28"/>
        <v>1000</v>
      </c>
      <c r="Q50" s="4">
        <v>964</v>
      </c>
      <c r="R50" s="4">
        <v>9371</v>
      </c>
      <c r="S50" s="4">
        <f t="shared" si="29"/>
        <v>5167.5</v>
      </c>
      <c r="T50" s="36">
        <f t="shared" si="30"/>
        <v>0.81444944363812288</v>
      </c>
      <c r="U50" s="4">
        <f t="shared" si="31"/>
        <v>9400</v>
      </c>
      <c r="V50" s="8">
        <f t="shared" si="32"/>
        <v>45300</v>
      </c>
      <c r="W50" s="8">
        <v>49861</v>
      </c>
      <c r="X50" s="8">
        <v>45342</v>
      </c>
      <c r="Y50" s="8">
        <f t="shared" si="33"/>
        <v>47601.5</v>
      </c>
      <c r="Z50" s="44">
        <f t="shared" si="34"/>
        <v>4.846699158639959E-2</v>
      </c>
      <c r="AA50" s="8">
        <f t="shared" si="35"/>
        <v>49900</v>
      </c>
      <c r="AB50" s="4">
        <f t="shared" si="36"/>
        <v>69400</v>
      </c>
      <c r="AC50" s="4">
        <v>69500</v>
      </c>
      <c r="AD50" s="4">
        <v>85531</v>
      </c>
      <c r="AE50" s="4">
        <f t="shared" si="37"/>
        <v>77515.5</v>
      </c>
      <c r="AF50" s="36">
        <f t="shared" si="38"/>
        <v>0.10440512542652759</v>
      </c>
      <c r="AG50" s="4">
        <f t="shared" si="39"/>
        <v>85600</v>
      </c>
      <c r="AI50" s="21"/>
      <c r="AL50" s="21"/>
    </row>
    <row r="51" spans="2:38">
      <c r="B51" s="61">
        <v>26</v>
      </c>
      <c r="C51" s="16" t="s">
        <v>52</v>
      </c>
      <c r="D51" s="27">
        <f t="shared" si="20"/>
        <v>275900</v>
      </c>
      <c r="E51" s="27">
        <v>277600</v>
      </c>
      <c r="F51" s="27">
        <v>279783</v>
      </c>
      <c r="G51" s="27">
        <f t="shared" si="21"/>
        <v>278691.5</v>
      </c>
      <c r="H51" s="35">
        <f t="shared" si="22"/>
        <v>0.01</v>
      </c>
      <c r="I51" s="27">
        <f t="shared" si="23"/>
        <v>281500</v>
      </c>
      <c r="J51" s="30">
        <f t="shared" si="24"/>
        <v>89200</v>
      </c>
      <c r="K51" s="30">
        <v>94124</v>
      </c>
      <c r="L51" s="30">
        <v>89287</v>
      </c>
      <c r="M51" s="30">
        <f t="shared" si="25"/>
        <v>91705.5</v>
      </c>
      <c r="N51" s="48">
        <f t="shared" si="26"/>
        <v>2.737246402887504E-2</v>
      </c>
      <c r="O51" s="30">
        <f t="shared" si="27"/>
        <v>94200</v>
      </c>
      <c r="P51" s="27">
        <f t="shared" si="28"/>
        <v>1100</v>
      </c>
      <c r="Q51" s="17">
        <v>1074</v>
      </c>
      <c r="R51" s="17">
        <v>17116</v>
      </c>
      <c r="S51" s="27">
        <f t="shared" si="29"/>
        <v>9095</v>
      </c>
      <c r="T51" s="35">
        <f t="shared" si="30"/>
        <v>0.88291313908741065</v>
      </c>
      <c r="U51" s="27">
        <f t="shared" si="31"/>
        <v>17100</v>
      </c>
      <c r="V51" s="30">
        <f t="shared" si="32"/>
        <v>86600</v>
      </c>
      <c r="W51" s="30">
        <v>107658</v>
      </c>
      <c r="X51" s="30">
        <v>86697</v>
      </c>
      <c r="Y51" s="30">
        <f t="shared" si="33"/>
        <v>97177.5</v>
      </c>
      <c r="Z51" s="48">
        <f t="shared" si="34"/>
        <v>0.10884903912942812</v>
      </c>
      <c r="AA51" s="30">
        <f t="shared" si="35"/>
        <v>107800</v>
      </c>
      <c r="AB51" s="27">
        <f t="shared" si="36"/>
        <v>130900</v>
      </c>
      <c r="AC51" s="17">
        <v>131000</v>
      </c>
      <c r="AD51" s="17">
        <v>147121</v>
      </c>
      <c r="AE51" s="27">
        <f t="shared" si="37"/>
        <v>139060.5</v>
      </c>
      <c r="AF51" s="35">
        <f t="shared" si="38"/>
        <v>5.8963979706674434E-2</v>
      </c>
      <c r="AG51" s="27">
        <f t="shared" si="39"/>
        <v>147300</v>
      </c>
      <c r="AI51" s="21"/>
      <c r="AL51" s="21"/>
    </row>
    <row r="52" spans="2:38">
      <c r="B52" s="61">
        <v>27</v>
      </c>
      <c r="C52" s="14" t="s">
        <v>53</v>
      </c>
      <c r="D52" s="4">
        <f t="shared" si="20"/>
        <v>102000</v>
      </c>
      <c r="E52" s="4">
        <v>102400</v>
      </c>
      <c r="F52" s="4">
        <v>103568</v>
      </c>
      <c r="G52" s="4">
        <f t="shared" si="21"/>
        <v>102984</v>
      </c>
      <c r="H52" s="34">
        <f t="shared" si="22"/>
        <v>0.01</v>
      </c>
      <c r="I52" s="4">
        <f t="shared" si="23"/>
        <v>104000</v>
      </c>
      <c r="J52" s="8">
        <f t="shared" si="24"/>
        <v>34100</v>
      </c>
      <c r="K52" s="8">
        <v>34478</v>
      </c>
      <c r="L52" s="8">
        <v>34449</v>
      </c>
      <c r="M52" s="8">
        <f t="shared" si="25"/>
        <v>34463.5</v>
      </c>
      <c r="N52" s="44">
        <f t="shared" si="26"/>
        <v>0.01</v>
      </c>
      <c r="O52" s="8">
        <f t="shared" si="27"/>
        <v>34800</v>
      </c>
      <c r="P52" s="4">
        <f t="shared" si="28"/>
        <v>900</v>
      </c>
      <c r="Q52" s="4">
        <v>855</v>
      </c>
      <c r="R52" s="4">
        <v>6204</v>
      </c>
      <c r="S52" s="4">
        <f t="shared" si="29"/>
        <v>3529.5</v>
      </c>
      <c r="T52" s="34">
        <f t="shared" si="30"/>
        <v>0.75875605609859753</v>
      </c>
      <c r="U52" s="4">
        <f t="shared" si="31"/>
        <v>6200</v>
      </c>
      <c r="V52" s="8">
        <f t="shared" si="32"/>
        <v>47500</v>
      </c>
      <c r="W52" s="8">
        <v>54060</v>
      </c>
      <c r="X52" s="8">
        <v>47590</v>
      </c>
      <c r="Y52" s="8">
        <f t="shared" si="33"/>
        <v>50825</v>
      </c>
      <c r="Z52" s="44">
        <f t="shared" si="34"/>
        <v>6.4649778652238074E-2</v>
      </c>
      <c r="AA52" s="8">
        <f t="shared" si="35"/>
        <v>54100</v>
      </c>
      <c r="AB52" s="4">
        <f t="shared" si="36"/>
        <v>52800</v>
      </c>
      <c r="AC52" s="4">
        <v>52900</v>
      </c>
      <c r="AD52" s="4">
        <v>53937</v>
      </c>
      <c r="AE52" s="4">
        <f t="shared" si="37"/>
        <v>53418.5</v>
      </c>
      <c r="AF52" s="34">
        <f t="shared" si="38"/>
        <v>1.070637513221075E-2</v>
      </c>
      <c r="AG52" s="4">
        <f t="shared" si="39"/>
        <v>54000</v>
      </c>
      <c r="AI52" s="21"/>
      <c r="AL52" s="21"/>
    </row>
    <row r="53" spans="2:38">
      <c r="B53" s="61">
        <v>28</v>
      </c>
      <c r="C53" s="16" t="s">
        <v>54</v>
      </c>
      <c r="D53" s="27">
        <f t="shared" si="20"/>
        <v>36900</v>
      </c>
      <c r="E53" s="27">
        <v>36900</v>
      </c>
      <c r="F53" s="27">
        <v>41943</v>
      </c>
      <c r="G53" s="27">
        <f t="shared" si="21"/>
        <v>39421.5</v>
      </c>
      <c r="H53" s="35">
        <f t="shared" si="22"/>
        <v>6.496255850234009E-2</v>
      </c>
      <c r="I53" s="27">
        <f t="shared" si="23"/>
        <v>42000</v>
      </c>
      <c r="J53" s="30">
        <f t="shared" si="24"/>
        <v>14600</v>
      </c>
      <c r="K53" s="30">
        <v>14587</v>
      </c>
      <c r="L53" s="30">
        <v>15935</v>
      </c>
      <c r="M53" s="30">
        <f t="shared" si="25"/>
        <v>15261</v>
      </c>
      <c r="N53" s="48">
        <f t="shared" si="26"/>
        <v>4.5164864687766204E-2</v>
      </c>
      <c r="O53" s="30">
        <f t="shared" si="27"/>
        <v>16000</v>
      </c>
      <c r="P53" s="27">
        <f t="shared" si="28"/>
        <v>1300</v>
      </c>
      <c r="Q53" s="17">
        <v>1574</v>
      </c>
      <c r="R53" s="17">
        <v>1265</v>
      </c>
      <c r="S53" s="27">
        <f t="shared" si="29"/>
        <v>1419.5</v>
      </c>
      <c r="T53" s="35">
        <f t="shared" si="30"/>
        <v>0.10984114124691793</v>
      </c>
      <c r="U53" s="27">
        <f t="shared" si="31"/>
        <v>1600</v>
      </c>
      <c r="V53" s="30">
        <f t="shared" si="32"/>
        <v>23900</v>
      </c>
      <c r="W53" s="30">
        <v>31918</v>
      </c>
      <c r="X53" s="30">
        <v>23920</v>
      </c>
      <c r="Y53" s="30">
        <f t="shared" si="33"/>
        <v>27919</v>
      </c>
      <c r="Z53" s="48">
        <f t="shared" si="34"/>
        <v>0.14423578924746588</v>
      </c>
      <c r="AA53" s="30">
        <f t="shared" si="35"/>
        <v>31900</v>
      </c>
      <c r="AB53" s="27">
        <f t="shared" si="36"/>
        <v>18300</v>
      </c>
      <c r="AC53" s="17">
        <v>18300</v>
      </c>
      <c r="AD53" s="17">
        <v>26562</v>
      </c>
      <c r="AE53" s="27">
        <f t="shared" si="37"/>
        <v>22431</v>
      </c>
      <c r="AF53" s="35">
        <f t="shared" si="38"/>
        <v>0.18516477196736658</v>
      </c>
      <c r="AG53" s="27">
        <f t="shared" si="39"/>
        <v>26600</v>
      </c>
      <c r="AI53" s="21"/>
      <c r="AL53" s="21"/>
    </row>
    <row r="54" spans="2:38">
      <c r="B54" s="61">
        <v>29</v>
      </c>
      <c r="C54" s="14" t="s">
        <v>55</v>
      </c>
      <c r="D54" s="4">
        <f t="shared" si="20"/>
        <v>170800</v>
      </c>
      <c r="E54" s="4">
        <v>171000</v>
      </c>
      <c r="F54" s="4">
        <v>175085</v>
      </c>
      <c r="G54" s="4">
        <f t="shared" si="21"/>
        <v>173042.5</v>
      </c>
      <c r="H54" s="36">
        <f t="shared" si="22"/>
        <v>1.2803458687894592E-2</v>
      </c>
      <c r="I54" s="4">
        <f t="shared" si="23"/>
        <v>175300</v>
      </c>
      <c r="J54" s="8">
        <f t="shared" si="24"/>
        <v>64100</v>
      </c>
      <c r="K54" s="8">
        <v>65297</v>
      </c>
      <c r="L54" s="8">
        <v>64234</v>
      </c>
      <c r="M54" s="8">
        <f t="shared" si="25"/>
        <v>64765.5</v>
      </c>
      <c r="N54" s="44">
        <f t="shared" si="26"/>
        <v>0.01</v>
      </c>
      <c r="O54" s="8">
        <f t="shared" si="27"/>
        <v>65400</v>
      </c>
      <c r="P54" s="4">
        <f t="shared" si="28"/>
        <v>2700</v>
      </c>
      <c r="Q54" s="4">
        <v>2703</v>
      </c>
      <c r="R54" s="4">
        <v>8999</v>
      </c>
      <c r="S54" s="4">
        <f t="shared" si="29"/>
        <v>5851</v>
      </c>
      <c r="T54" s="36">
        <f t="shared" si="30"/>
        <v>0.5390276875747736</v>
      </c>
      <c r="U54" s="4">
        <f t="shared" si="31"/>
        <v>9000</v>
      </c>
      <c r="V54" s="8">
        <f t="shared" si="32"/>
        <v>72100</v>
      </c>
      <c r="W54" s="8">
        <v>81206</v>
      </c>
      <c r="X54" s="8">
        <v>72175</v>
      </c>
      <c r="Y54" s="8">
        <f t="shared" si="33"/>
        <v>76690.5</v>
      </c>
      <c r="Z54" s="44">
        <f t="shared" si="34"/>
        <v>5.9879522235478974E-2</v>
      </c>
      <c r="AA54" s="8">
        <f t="shared" si="35"/>
        <v>81300</v>
      </c>
      <c r="AB54" s="4">
        <f t="shared" si="36"/>
        <v>87900</v>
      </c>
      <c r="AC54" s="4">
        <v>88000</v>
      </c>
      <c r="AD54" s="4">
        <v>101374</v>
      </c>
      <c r="AE54" s="4">
        <f t="shared" si="37"/>
        <v>94687</v>
      </c>
      <c r="AF54" s="36">
        <f t="shared" si="38"/>
        <v>7.1622155100488985E-2</v>
      </c>
      <c r="AG54" s="4">
        <f t="shared" si="39"/>
        <v>101500</v>
      </c>
      <c r="AI54" s="21"/>
      <c r="AL54" s="21"/>
    </row>
    <row r="55" spans="2:38">
      <c r="B55" s="61">
        <v>30</v>
      </c>
      <c r="C55" s="14" t="s">
        <v>56</v>
      </c>
      <c r="D55" s="4">
        <f t="shared" si="20"/>
        <v>241000</v>
      </c>
      <c r="E55" s="4">
        <v>244700</v>
      </c>
      <c r="F55" s="4">
        <v>242178</v>
      </c>
      <c r="G55" s="4">
        <f t="shared" si="21"/>
        <v>243439</v>
      </c>
      <c r="H55" s="36">
        <f t="shared" si="22"/>
        <v>0.01</v>
      </c>
      <c r="I55" s="4">
        <f t="shared" si="23"/>
        <v>245900</v>
      </c>
      <c r="J55" s="8">
        <f t="shared" si="24"/>
        <v>88000</v>
      </c>
      <c r="K55" s="8">
        <v>92638</v>
      </c>
      <c r="L55" s="8">
        <v>88086</v>
      </c>
      <c r="M55" s="8">
        <f t="shared" si="25"/>
        <v>90362</v>
      </c>
      <c r="N55" s="44">
        <f t="shared" si="26"/>
        <v>2.6187578849516391E-2</v>
      </c>
      <c r="O55" s="8">
        <f t="shared" si="27"/>
        <v>92700</v>
      </c>
      <c r="P55" s="4">
        <f t="shared" si="28"/>
        <v>1800</v>
      </c>
      <c r="Q55" s="4">
        <v>1758</v>
      </c>
      <c r="R55" s="4">
        <v>13709</v>
      </c>
      <c r="S55" s="4">
        <f t="shared" si="29"/>
        <v>7733.5</v>
      </c>
      <c r="T55" s="36">
        <f t="shared" si="30"/>
        <v>0.77367731298894415</v>
      </c>
      <c r="U55" s="4">
        <f t="shared" si="31"/>
        <v>13700</v>
      </c>
      <c r="V55" s="8">
        <f t="shared" si="32"/>
        <v>117400</v>
      </c>
      <c r="W55" s="8">
        <v>127187</v>
      </c>
      <c r="X55" s="8">
        <v>117516</v>
      </c>
      <c r="Y55" s="8">
        <f t="shared" si="33"/>
        <v>122351.5</v>
      </c>
      <c r="Z55" s="44">
        <f t="shared" si="34"/>
        <v>4.0521378977781228E-2</v>
      </c>
      <c r="AA55" s="8">
        <f t="shared" si="35"/>
        <v>127300</v>
      </c>
      <c r="AB55" s="4">
        <f t="shared" si="36"/>
        <v>121200</v>
      </c>
      <c r="AC55" s="4">
        <v>121300</v>
      </c>
      <c r="AD55" s="4">
        <v>132070</v>
      </c>
      <c r="AE55" s="4">
        <f t="shared" si="37"/>
        <v>126685</v>
      </c>
      <c r="AF55" s="36">
        <f t="shared" si="38"/>
        <v>4.3507005564984019E-2</v>
      </c>
      <c r="AG55" s="4">
        <f t="shared" si="39"/>
        <v>132200</v>
      </c>
      <c r="AI55" s="21"/>
      <c r="AL55" s="21"/>
    </row>
    <row r="56" spans="2:38">
      <c r="B56" s="61">
        <v>31</v>
      </c>
      <c r="C56" s="15" t="s">
        <v>57</v>
      </c>
      <c r="D56" s="27">
        <f t="shared" si="20"/>
        <v>81800</v>
      </c>
      <c r="E56" s="27">
        <v>81900</v>
      </c>
      <c r="F56" s="27">
        <v>93528</v>
      </c>
      <c r="G56" s="27">
        <f t="shared" si="21"/>
        <v>87714</v>
      </c>
      <c r="H56" s="35">
        <f t="shared" si="22"/>
        <v>6.7283603529653194E-2</v>
      </c>
      <c r="I56" s="27">
        <f t="shared" si="23"/>
        <v>93600</v>
      </c>
      <c r="J56" s="30">
        <f t="shared" si="24"/>
        <v>32100</v>
      </c>
      <c r="K56" s="30">
        <v>32123</v>
      </c>
      <c r="L56" s="30">
        <v>35654</v>
      </c>
      <c r="M56" s="30">
        <f t="shared" si="25"/>
        <v>33888.5</v>
      </c>
      <c r="N56" s="48">
        <f t="shared" si="26"/>
        <v>5.3097319149564011E-2</v>
      </c>
      <c r="O56" s="30">
        <f t="shared" si="27"/>
        <v>35700</v>
      </c>
      <c r="P56" s="27">
        <f t="shared" si="28"/>
        <v>600</v>
      </c>
      <c r="Q56" s="17">
        <v>615</v>
      </c>
      <c r="R56" s="17">
        <v>3338</v>
      </c>
      <c r="S56" s="27">
        <f t="shared" si="29"/>
        <v>1976.5</v>
      </c>
      <c r="T56" s="35">
        <f t="shared" si="30"/>
        <v>0.68984391601315453</v>
      </c>
      <c r="U56" s="27">
        <f t="shared" si="31"/>
        <v>3300</v>
      </c>
      <c r="V56" s="30">
        <f t="shared" si="32"/>
        <v>31200</v>
      </c>
      <c r="W56" s="30">
        <v>32489</v>
      </c>
      <c r="X56" s="30">
        <v>31213</v>
      </c>
      <c r="Y56" s="30">
        <f t="shared" si="33"/>
        <v>31851</v>
      </c>
      <c r="Z56" s="48">
        <f t="shared" si="34"/>
        <v>2.1030768264732661E-2</v>
      </c>
      <c r="AA56" s="30">
        <f t="shared" si="35"/>
        <v>32500</v>
      </c>
      <c r="AB56" s="27">
        <f t="shared" si="36"/>
        <v>40800</v>
      </c>
      <c r="AC56" s="17">
        <v>40800</v>
      </c>
      <c r="AD56" s="17">
        <v>47921</v>
      </c>
      <c r="AE56" s="27">
        <f t="shared" si="37"/>
        <v>44360.5</v>
      </c>
      <c r="AF56" s="35">
        <f t="shared" si="38"/>
        <v>8.1262846451234771E-2</v>
      </c>
      <c r="AG56" s="27">
        <f t="shared" si="39"/>
        <v>48000</v>
      </c>
      <c r="AI56" s="21"/>
      <c r="AL56" s="21"/>
    </row>
    <row r="57" spans="2:38">
      <c r="B57" s="61">
        <v>32</v>
      </c>
      <c r="C57" s="14" t="s">
        <v>58</v>
      </c>
      <c r="D57" s="4">
        <f t="shared" si="20"/>
        <v>61500</v>
      </c>
      <c r="E57" s="4">
        <v>62400</v>
      </c>
      <c r="F57" s="4">
        <v>61786</v>
      </c>
      <c r="G57" s="4">
        <f t="shared" si="21"/>
        <v>62093</v>
      </c>
      <c r="H57" s="34">
        <f t="shared" si="22"/>
        <v>0.01</v>
      </c>
      <c r="I57" s="4">
        <f t="shared" si="23"/>
        <v>62700</v>
      </c>
      <c r="J57" s="8">
        <f t="shared" si="24"/>
        <v>23100</v>
      </c>
      <c r="K57" s="8">
        <v>24586</v>
      </c>
      <c r="L57" s="8">
        <v>23086</v>
      </c>
      <c r="M57" s="8">
        <f t="shared" si="25"/>
        <v>23836</v>
      </c>
      <c r="N57" s="44">
        <f t="shared" si="26"/>
        <v>3.2465010907870448E-2</v>
      </c>
      <c r="O57" s="8">
        <f t="shared" si="27"/>
        <v>24600</v>
      </c>
      <c r="P57" s="4">
        <f t="shared" si="28"/>
        <v>500</v>
      </c>
      <c r="Q57" s="4">
        <v>474</v>
      </c>
      <c r="R57" s="4">
        <v>3116</v>
      </c>
      <c r="S57" s="4">
        <f t="shared" si="29"/>
        <v>1795</v>
      </c>
      <c r="T57" s="34">
        <f t="shared" si="30"/>
        <v>0.73693314763231199</v>
      </c>
      <c r="U57" s="4">
        <f t="shared" si="31"/>
        <v>3100</v>
      </c>
      <c r="V57" s="8">
        <f t="shared" si="32"/>
        <v>27600</v>
      </c>
      <c r="W57" s="8">
        <v>27664</v>
      </c>
      <c r="X57" s="8">
        <v>28866</v>
      </c>
      <c r="Y57" s="8">
        <f t="shared" si="33"/>
        <v>28265</v>
      </c>
      <c r="Z57" s="44">
        <f t="shared" si="34"/>
        <v>2.2263046170175129E-2</v>
      </c>
      <c r="AA57" s="8">
        <f t="shared" si="35"/>
        <v>28900</v>
      </c>
      <c r="AB57" s="4">
        <f t="shared" si="36"/>
        <v>22800</v>
      </c>
      <c r="AC57" s="4">
        <v>31900</v>
      </c>
      <c r="AD57" s="4">
        <v>22844</v>
      </c>
      <c r="AE57" s="4">
        <f t="shared" si="37"/>
        <v>27372</v>
      </c>
      <c r="AF57" s="34">
        <f t="shared" si="38"/>
        <v>0.16642452140873887</v>
      </c>
      <c r="AG57" s="4">
        <f t="shared" si="39"/>
        <v>31900</v>
      </c>
      <c r="AI57" s="21"/>
      <c r="AL57" s="21"/>
    </row>
    <row r="58" spans="2:38">
      <c r="B58" s="61">
        <v>33</v>
      </c>
      <c r="C58" s="14" t="s">
        <v>59</v>
      </c>
      <c r="D58" s="4">
        <f t="shared" si="20"/>
        <v>107000</v>
      </c>
      <c r="E58" s="4">
        <v>107100</v>
      </c>
      <c r="F58" s="4">
        <v>113746</v>
      </c>
      <c r="G58" s="4">
        <f t="shared" si="21"/>
        <v>110423</v>
      </c>
      <c r="H58" s="34">
        <f t="shared" si="22"/>
        <v>3.1093368229444952E-2</v>
      </c>
      <c r="I58" s="4">
        <f t="shared" si="23"/>
        <v>113900</v>
      </c>
      <c r="J58" s="8">
        <f t="shared" si="24"/>
        <v>42400</v>
      </c>
      <c r="K58" s="8">
        <v>42423</v>
      </c>
      <c r="L58" s="8">
        <v>44041</v>
      </c>
      <c r="M58" s="8">
        <f t="shared" si="25"/>
        <v>43232</v>
      </c>
      <c r="N58" s="44">
        <f t="shared" si="26"/>
        <v>1.971299037749815E-2</v>
      </c>
      <c r="O58" s="8">
        <f t="shared" si="27"/>
        <v>44100</v>
      </c>
      <c r="P58" s="4">
        <f t="shared" si="28"/>
        <v>1800</v>
      </c>
      <c r="Q58" s="4">
        <v>1772</v>
      </c>
      <c r="R58" s="4">
        <v>5553</v>
      </c>
      <c r="S58" s="4">
        <f t="shared" si="29"/>
        <v>3662.5</v>
      </c>
      <c r="T58" s="34">
        <f t="shared" si="30"/>
        <v>0.51717747440273043</v>
      </c>
      <c r="U58" s="4">
        <f t="shared" si="31"/>
        <v>5600</v>
      </c>
      <c r="V58" s="8">
        <f t="shared" si="32"/>
        <v>61000</v>
      </c>
      <c r="W58" s="8">
        <v>61076</v>
      </c>
      <c r="X58" s="8">
        <v>63073</v>
      </c>
      <c r="Y58" s="8">
        <f t="shared" si="33"/>
        <v>62074.5</v>
      </c>
      <c r="Z58" s="44">
        <f t="shared" si="34"/>
        <v>1.7085510153122457E-2</v>
      </c>
      <c r="AA58" s="8">
        <f t="shared" si="35"/>
        <v>63100</v>
      </c>
      <c r="AB58" s="4">
        <f t="shared" si="36"/>
        <v>54700</v>
      </c>
      <c r="AC58" s="4">
        <v>55500</v>
      </c>
      <c r="AD58" s="4">
        <v>54956</v>
      </c>
      <c r="AE58" s="4">
        <f t="shared" si="37"/>
        <v>55228</v>
      </c>
      <c r="AF58" s="34">
        <f t="shared" si="38"/>
        <v>0.01</v>
      </c>
      <c r="AG58" s="4">
        <f t="shared" si="39"/>
        <v>55800</v>
      </c>
      <c r="AI58" s="21"/>
      <c r="AL58" s="21"/>
    </row>
    <row r="59" spans="2:38">
      <c r="B59" s="61">
        <v>34</v>
      </c>
      <c r="C59" s="16" t="s">
        <v>60</v>
      </c>
      <c r="D59" s="4">
        <f t="shared" si="20"/>
        <v>86600</v>
      </c>
      <c r="E59" s="17">
        <v>86700</v>
      </c>
      <c r="F59" s="17">
        <v>96754</v>
      </c>
      <c r="G59" s="4">
        <f t="shared" si="21"/>
        <v>91727</v>
      </c>
      <c r="H59" s="34">
        <f t="shared" si="22"/>
        <v>5.5803929050334142E-2</v>
      </c>
      <c r="I59" s="4">
        <f t="shared" si="23"/>
        <v>96800</v>
      </c>
      <c r="J59" s="30">
        <f t="shared" si="24"/>
        <v>37800</v>
      </c>
      <c r="K59" s="30">
        <v>37839</v>
      </c>
      <c r="L59" s="30">
        <v>41491</v>
      </c>
      <c r="M59" s="30">
        <f t="shared" si="25"/>
        <v>39665</v>
      </c>
      <c r="N59" s="48">
        <f t="shared" si="26"/>
        <v>4.7035547712088746E-2</v>
      </c>
      <c r="O59" s="30">
        <f t="shared" si="27"/>
        <v>41500</v>
      </c>
      <c r="P59" s="4">
        <f t="shared" si="28"/>
        <v>600</v>
      </c>
      <c r="Q59" s="17">
        <v>638</v>
      </c>
      <c r="R59" s="17">
        <v>3786</v>
      </c>
      <c r="S59" s="4">
        <f t="shared" si="29"/>
        <v>2212</v>
      </c>
      <c r="T59" s="34">
        <f t="shared" si="30"/>
        <v>0.71257323688969254</v>
      </c>
      <c r="U59" s="4">
        <f t="shared" si="31"/>
        <v>3800</v>
      </c>
      <c r="V59" s="30">
        <f t="shared" si="32"/>
        <v>44000</v>
      </c>
      <c r="W59" s="30">
        <v>47573</v>
      </c>
      <c r="X59" s="30">
        <v>44064</v>
      </c>
      <c r="Y59" s="30">
        <f t="shared" si="33"/>
        <v>45818.5</v>
      </c>
      <c r="Z59" s="48">
        <f t="shared" si="34"/>
        <v>3.9292392810764215E-2</v>
      </c>
      <c r="AA59" s="30">
        <f t="shared" si="35"/>
        <v>47600</v>
      </c>
      <c r="AB59" s="4">
        <f t="shared" si="36"/>
        <v>43200</v>
      </c>
      <c r="AC59" s="17">
        <v>43300</v>
      </c>
      <c r="AD59" s="17">
        <v>58046</v>
      </c>
      <c r="AE59" s="4">
        <f t="shared" si="37"/>
        <v>50673</v>
      </c>
      <c r="AF59" s="34">
        <f t="shared" si="38"/>
        <v>0.1465015491484617</v>
      </c>
      <c r="AG59" s="4">
        <f t="shared" si="39"/>
        <v>58100</v>
      </c>
      <c r="AI59" s="21"/>
      <c r="AL59" s="21"/>
    </row>
    <row r="60" spans="2:38">
      <c r="C60" s="18" t="s">
        <v>26</v>
      </c>
      <c r="D60" s="20">
        <f>SUM(D29:D59)</f>
        <v>7500500</v>
      </c>
      <c r="E60" s="20">
        <f>SUM(E29:E59)</f>
        <v>7581471</v>
      </c>
      <c r="F60" s="20">
        <f>SUM(F29:F59)</f>
        <v>7655589</v>
      </c>
      <c r="G60" s="20">
        <f>SUM(G29:G59)</f>
        <v>7618530</v>
      </c>
      <c r="H60" s="20"/>
      <c r="I60" s="20">
        <f>SUM(I29:I59)</f>
        <v>7736700</v>
      </c>
      <c r="J60" s="31">
        <f>SUM(J29:J59)</f>
        <v>2634500</v>
      </c>
      <c r="K60" s="31">
        <f>SUM(K29:K59)</f>
        <v>2696294</v>
      </c>
      <c r="L60" s="31">
        <f>SUM(L29:L59)</f>
        <v>2676576</v>
      </c>
      <c r="M60" s="31">
        <v>2677000</v>
      </c>
      <c r="N60" s="19"/>
      <c r="O60" s="31">
        <f>SUM(O29:O59)</f>
        <v>2738500</v>
      </c>
      <c r="P60" s="20">
        <f>SUM(P29:P59)</f>
        <v>85600</v>
      </c>
      <c r="Q60" s="20">
        <f>SUM(Q29:Q59)</f>
        <v>90857</v>
      </c>
      <c r="R60" s="20">
        <f>SUM(R29:R59)</f>
        <v>438804</v>
      </c>
      <c r="S60" s="20">
        <f>SUM(S29:S59)</f>
        <v>264830.5</v>
      </c>
      <c r="T60" s="20"/>
      <c r="U60" s="20">
        <f>SUM(U29:U59)</f>
        <v>444300</v>
      </c>
      <c r="V60" s="31">
        <f>SUM(V29:V59)</f>
        <v>3729000</v>
      </c>
      <c r="W60" s="31">
        <f>SUM(W29:W59)</f>
        <v>3861318</v>
      </c>
      <c r="X60" s="31">
        <f>SUM(X29:X59)</f>
        <v>4005318</v>
      </c>
      <c r="Y60" s="31">
        <v>2677000</v>
      </c>
      <c r="Z60" s="19"/>
      <c r="AA60" s="31">
        <f>SUM(AA29:AA59)</f>
        <v>4137300</v>
      </c>
      <c r="AB60" s="20">
        <f>SUM(AB29:AB59)</f>
        <v>3825900</v>
      </c>
      <c r="AC60" s="20">
        <f>SUM(AC29:AC59)</f>
        <v>3894700</v>
      </c>
      <c r="AD60" s="20">
        <f>SUM(AD29:AD59)</f>
        <v>4040983</v>
      </c>
      <c r="AE60" s="20">
        <f>SUM(AE29:AE59)</f>
        <v>3967841.5</v>
      </c>
      <c r="AF60" s="20"/>
      <c r="AG60" s="20">
        <f>SUM(AG29:AG59)</f>
        <v>4110100</v>
      </c>
    </row>
  </sheetData>
  <mergeCells count="12">
    <mergeCell ref="C8:C9"/>
    <mergeCell ref="J8:O8"/>
    <mergeCell ref="P8:U8"/>
    <mergeCell ref="V8:AA8"/>
    <mergeCell ref="AB8:AG8"/>
    <mergeCell ref="D8:I8"/>
    <mergeCell ref="C27:C28"/>
    <mergeCell ref="J27:O27"/>
    <mergeCell ref="P27:U27"/>
    <mergeCell ref="V27:AA27"/>
    <mergeCell ref="AB27:AG27"/>
    <mergeCell ref="D27:I27"/>
  </mergeCells>
  <hyperlinks>
    <hyperlink ref="D5" r:id="rId1" xr:uid="{6EE4A3AC-E0E6-1B4B-ACA8-589A7594C45D}"/>
  </hyperlinks>
  <pageMargins left="0.25" right="0.25" top="0.75" bottom="0.75" header="0.3" footer="0.3"/>
  <pageSetup paperSize="3" orientation="landscape" verticalDpi="0" r:id="rId2"/>
  <rowBreaks count="1" manualBreakCount="1">
    <brk id="20" max="16383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9EB4-754B-B44D-B923-68A43FC06F49}">
  <sheetPr>
    <pageSetUpPr fitToPage="1"/>
  </sheetPr>
  <dimension ref="B2:W60"/>
  <sheetViews>
    <sheetView zoomScaleNormal="100" workbookViewId="0">
      <selection activeCell="C1" sqref="C1"/>
    </sheetView>
  </sheetViews>
  <sheetFormatPr defaultColWidth="11" defaultRowHeight="15.75"/>
  <cols>
    <col min="1" max="1" width="3" customWidth="1"/>
    <col min="2" max="2" width="4.125" style="61" customWidth="1"/>
    <col min="3" max="3" width="29.625" customWidth="1"/>
    <col min="5" max="5" width="12.5" hidden="1" customWidth="1"/>
    <col min="8" max="8" width="11" hidden="1" customWidth="1"/>
    <col min="11" max="11" width="11" hidden="1" customWidth="1"/>
    <col min="14" max="14" width="11" hidden="1" customWidth="1"/>
    <col min="17" max="17" width="11" hidden="1" customWidth="1"/>
    <col min="19" max="19" width="5.5" customWidth="1"/>
  </cols>
  <sheetData>
    <row r="2" spans="2:18" ht="18.75">
      <c r="C2" s="1" t="s">
        <v>61</v>
      </c>
    </row>
    <row r="3" spans="2:18" ht="18.75">
      <c r="C3" s="1" t="s">
        <v>1</v>
      </c>
    </row>
    <row r="4" spans="2:18" ht="18.75">
      <c r="C4" s="1" t="s">
        <v>62</v>
      </c>
    </row>
    <row r="5" spans="2:18">
      <c r="C5" s="183" t="s">
        <v>3</v>
      </c>
      <c r="D5" s="63" t="s">
        <v>4</v>
      </c>
    </row>
    <row r="6" spans="2:18">
      <c r="R6" s="49">
        <v>0.01</v>
      </c>
    </row>
    <row r="8" spans="2:18" ht="30.75" customHeight="1">
      <c r="C8" s="232" t="s">
        <v>5</v>
      </c>
      <c r="D8" s="237" t="s">
        <v>6</v>
      </c>
      <c r="E8" s="237"/>
      <c r="F8" s="237"/>
      <c r="G8" s="238" t="s">
        <v>7</v>
      </c>
      <c r="H8" s="238"/>
      <c r="I8" s="238"/>
      <c r="J8" s="235" t="s">
        <v>8</v>
      </c>
      <c r="K8" s="235"/>
      <c r="L8" s="235"/>
      <c r="M8" s="236" t="s">
        <v>9</v>
      </c>
      <c r="N8" s="236"/>
      <c r="O8" s="236"/>
      <c r="P8" s="235" t="s">
        <v>10</v>
      </c>
      <c r="Q8" s="235"/>
      <c r="R8" s="235"/>
    </row>
    <row r="9" spans="2:18" ht="16.5" thickBot="1">
      <c r="C9" s="233"/>
      <c r="D9" s="2" t="s">
        <v>11</v>
      </c>
      <c r="E9" s="2" t="s">
        <v>12</v>
      </c>
      <c r="F9" s="2" t="s">
        <v>16</v>
      </c>
      <c r="G9" s="10" t="s">
        <v>11</v>
      </c>
      <c r="H9" s="7" t="s">
        <v>12</v>
      </c>
      <c r="I9" s="10" t="s">
        <v>16</v>
      </c>
      <c r="J9" s="2" t="s">
        <v>11</v>
      </c>
      <c r="K9" s="2" t="s">
        <v>12</v>
      </c>
      <c r="L9" s="2" t="s">
        <v>16</v>
      </c>
      <c r="M9" s="10" t="s">
        <v>11</v>
      </c>
      <c r="N9" s="7" t="s">
        <v>12</v>
      </c>
      <c r="O9" s="10" t="s">
        <v>16</v>
      </c>
      <c r="P9" s="2" t="s">
        <v>11</v>
      </c>
      <c r="Q9" s="2" t="s">
        <v>12</v>
      </c>
      <c r="R9" s="2" t="s">
        <v>16</v>
      </c>
    </row>
    <row r="10" spans="2:18" ht="16.5" thickTop="1">
      <c r="B10" s="61">
        <v>1</v>
      </c>
      <c r="C10" s="3" t="s">
        <v>17</v>
      </c>
      <c r="D10" s="4">
        <f t="shared" ref="D10:D18" si="0">ROUND((1-$R$6)*E10,-2)</f>
        <v>1260100</v>
      </c>
      <c r="E10" s="4">
        <v>1272807</v>
      </c>
      <c r="F10" s="50">
        <f t="shared" ref="F10:F18" si="1">ROUND((1+$R$6)*E10,-2)</f>
        <v>1285500</v>
      </c>
      <c r="G10" s="11">
        <f t="shared" ref="G10:G18" si="2">ROUND((1-$R$6)*H10,-2)</f>
        <v>572600</v>
      </c>
      <c r="H10" s="8">
        <v>578370</v>
      </c>
      <c r="I10" s="11">
        <f t="shared" ref="I10:I18" si="3">ROUND((1+$R$6)*H10,-2)</f>
        <v>584200</v>
      </c>
      <c r="J10" s="4">
        <f t="shared" ref="J10:J18" si="4">ROUND((1-$R$6)*K10,-2)</f>
        <v>31000</v>
      </c>
      <c r="K10" s="4">
        <v>31277</v>
      </c>
      <c r="L10" s="50">
        <f t="shared" ref="L10:L18" si="5">ROUND((1+$R$6)*K10,-2)</f>
        <v>31600</v>
      </c>
      <c r="M10" s="11">
        <f t="shared" ref="M10:M18" si="6">ROUND((1-$R$6)*N10,-2)</f>
        <v>909000</v>
      </c>
      <c r="N10" s="8">
        <v>918214</v>
      </c>
      <c r="O10" s="11">
        <f t="shared" ref="O10:O18" si="7">ROUND((1+$R$6)*N10,-2)</f>
        <v>927400</v>
      </c>
      <c r="P10" s="4">
        <f t="shared" ref="P10:P18" si="8">ROUND((1-$R$6)*Q10,-2)</f>
        <v>701800</v>
      </c>
      <c r="Q10" s="4">
        <v>708929</v>
      </c>
      <c r="R10" s="50">
        <f t="shared" ref="R10:R18" si="9">ROUND((1+$R$6)*Q10,-2)</f>
        <v>716000</v>
      </c>
    </row>
    <row r="11" spans="2:18">
      <c r="B11" s="61">
        <v>2</v>
      </c>
      <c r="C11" s="3" t="s">
        <v>18</v>
      </c>
      <c r="D11" s="4">
        <f t="shared" si="0"/>
        <v>1004400</v>
      </c>
      <c r="E11" s="4">
        <v>1014520</v>
      </c>
      <c r="F11" s="50">
        <f t="shared" si="1"/>
        <v>1024700</v>
      </c>
      <c r="G11" s="11">
        <f t="shared" si="2"/>
        <v>389800</v>
      </c>
      <c r="H11" s="8">
        <v>393773</v>
      </c>
      <c r="I11" s="11">
        <f t="shared" si="3"/>
        <v>397700</v>
      </c>
      <c r="J11" s="4">
        <f t="shared" si="4"/>
        <v>11200</v>
      </c>
      <c r="K11" s="4">
        <v>11266</v>
      </c>
      <c r="L11" s="50">
        <f t="shared" si="5"/>
        <v>11400</v>
      </c>
      <c r="M11" s="11">
        <f t="shared" si="6"/>
        <v>502200</v>
      </c>
      <c r="N11" s="8">
        <v>507317</v>
      </c>
      <c r="O11" s="11">
        <f t="shared" si="7"/>
        <v>512400</v>
      </c>
      <c r="P11" s="4">
        <f t="shared" si="8"/>
        <v>515800</v>
      </c>
      <c r="Q11" s="4">
        <v>521058</v>
      </c>
      <c r="R11" s="50">
        <f t="shared" si="9"/>
        <v>526300</v>
      </c>
    </row>
    <row r="12" spans="2:18">
      <c r="B12" s="61">
        <v>3</v>
      </c>
      <c r="C12" s="3" t="s">
        <v>19</v>
      </c>
      <c r="D12" s="4">
        <f t="shared" si="0"/>
        <v>2862500</v>
      </c>
      <c r="E12" s="4">
        <v>2891403</v>
      </c>
      <c r="F12" s="50">
        <f t="shared" si="1"/>
        <v>2920300</v>
      </c>
      <c r="G12" s="11">
        <f t="shared" si="2"/>
        <v>1064400</v>
      </c>
      <c r="H12" s="8">
        <v>1075198</v>
      </c>
      <c r="I12" s="11">
        <f t="shared" si="3"/>
        <v>1085900</v>
      </c>
      <c r="J12" s="4">
        <f t="shared" si="4"/>
        <v>37200</v>
      </c>
      <c r="K12" s="4">
        <v>37566</v>
      </c>
      <c r="L12" s="50">
        <f t="shared" si="5"/>
        <v>37900</v>
      </c>
      <c r="M12" s="11">
        <f t="shared" si="6"/>
        <v>1594400</v>
      </c>
      <c r="N12" s="8">
        <v>1610463</v>
      </c>
      <c r="O12" s="11">
        <f t="shared" si="7"/>
        <v>1626600</v>
      </c>
      <c r="P12" s="4">
        <f t="shared" si="8"/>
        <v>1462900</v>
      </c>
      <c r="Q12" s="4">
        <v>1477679</v>
      </c>
      <c r="R12" s="50">
        <f t="shared" si="9"/>
        <v>1492500</v>
      </c>
    </row>
    <row r="13" spans="2:18">
      <c r="B13" s="61">
        <v>4</v>
      </c>
      <c r="C13" s="3" t="s">
        <v>20</v>
      </c>
      <c r="D13" s="4">
        <f t="shared" si="0"/>
        <v>2154100</v>
      </c>
      <c r="E13" s="4">
        <v>2175846</v>
      </c>
      <c r="F13" s="50">
        <f t="shared" si="1"/>
        <v>2197600</v>
      </c>
      <c r="G13" s="11">
        <f t="shared" si="2"/>
        <v>838300</v>
      </c>
      <c r="H13" s="8">
        <v>846769</v>
      </c>
      <c r="I13" s="11">
        <f t="shared" si="3"/>
        <v>855200</v>
      </c>
      <c r="J13" s="4">
        <f t="shared" si="4"/>
        <v>43700</v>
      </c>
      <c r="K13" s="4">
        <v>44168</v>
      </c>
      <c r="L13" s="50">
        <f t="shared" si="5"/>
        <v>44600</v>
      </c>
      <c r="M13" s="11">
        <f t="shared" si="6"/>
        <v>1170200</v>
      </c>
      <c r="N13" s="8">
        <v>1182024</v>
      </c>
      <c r="O13" s="11">
        <f t="shared" si="7"/>
        <v>1193800</v>
      </c>
      <c r="P13" s="4">
        <f t="shared" si="8"/>
        <v>1139400</v>
      </c>
      <c r="Q13" s="4">
        <v>1150919</v>
      </c>
      <c r="R13" s="50">
        <f t="shared" si="9"/>
        <v>1162400</v>
      </c>
    </row>
    <row r="14" spans="2:18">
      <c r="B14" s="61">
        <v>5</v>
      </c>
      <c r="C14" s="3" t="s">
        <v>21</v>
      </c>
      <c r="D14" s="4">
        <f t="shared" si="0"/>
        <v>1440400</v>
      </c>
      <c r="E14" s="4">
        <v>1454976</v>
      </c>
      <c r="F14" s="50">
        <f t="shared" si="1"/>
        <v>1469500</v>
      </c>
      <c r="G14" s="11">
        <f t="shared" si="2"/>
        <v>545900</v>
      </c>
      <c r="H14" s="8">
        <v>551378</v>
      </c>
      <c r="I14" s="11">
        <f t="shared" si="3"/>
        <v>556900</v>
      </c>
      <c r="J14" s="4">
        <f t="shared" si="4"/>
        <v>12400</v>
      </c>
      <c r="K14" s="4">
        <v>12553</v>
      </c>
      <c r="L14" s="50">
        <f t="shared" si="5"/>
        <v>12700</v>
      </c>
      <c r="M14" s="11">
        <f t="shared" si="6"/>
        <v>528400</v>
      </c>
      <c r="N14" s="8">
        <v>533777</v>
      </c>
      <c r="O14" s="11">
        <f t="shared" si="7"/>
        <v>539100</v>
      </c>
      <c r="P14" s="4">
        <f t="shared" si="8"/>
        <v>758600</v>
      </c>
      <c r="Q14" s="4">
        <v>766250</v>
      </c>
      <c r="R14" s="50">
        <f t="shared" si="9"/>
        <v>773900</v>
      </c>
    </row>
    <row r="15" spans="2:18">
      <c r="B15" s="61">
        <v>6</v>
      </c>
      <c r="C15" s="3" t="s">
        <v>22</v>
      </c>
      <c r="D15" s="4">
        <f t="shared" si="0"/>
        <v>485000</v>
      </c>
      <c r="E15" s="4">
        <v>489889</v>
      </c>
      <c r="F15" s="50">
        <f t="shared" si="1"/>
        <v>494800</v>
      </c>
      <c r="G15" s="11">
        <f t="shared" si="2"/>
        <v>174800</v>
      </c>
      <c r="H15" s="8">
        <v>176532</v>
      </c>
      <c r="I15" s="11">
        <f t="shared" si="3"/>
        <v>178300</v>
      </c>
      <c r="J15" s="4">
        <f t="shared" si="4"/>
        <v>16200</v>
      </c>
      <c r="K15" s="4">
        <v>16402</v>
      </c>
      <c r="L15" s="50">
        <f t="shared" si="5"/>
        <v>16600</v>
      </c>
      <c r="M15" s="11">
        <f t="shared" si="6"/>
        <v>199400</v>
      </c>
      <c r="N15" s="8">
        <v>201458</v>
      </c>
      <c r="O15" s="11">
        <f t="shared" si="7"/>
        <v>203500</v>
      </c>
      <c r="P15" s="4">
        <f t="shared" si="8"/>
        <v>254500</v>
      </c>
      <c r="Q15" s="4">
        <v>257114</v>
      </c>
      <c r="R15" s="50">
        <f t="shared" si="9"/>
        <v>259700</v>
      </c>
    </row>
    <row r="16" spans="2:18">
      <c r="B16" s="61">
        <v>7</v>
      </c>
      <c r="C16" s="3" t="s">
        <v>23</v>
      </c>
      <c r="D16" s="4">
        <f t="shared" si="0"/>
        <v>145400</v>
      </c>
      <c r="E16" s="4">
        <v>146866</v>
      </c>
      <c r="F16" s="50">
        <f t="shared" si="1"/>
        <v>148300</v>
      </c>
      <c r="G16" s="11">
        <f t="shared" si="2"/>
        <v>55000</v>
      </c>
      <c r="H16" s="8">
        <v>55601</v>
      </c>
      <c r="I16" s="11">
        <f t="shared" si="3"/>
        <v>56200</v>
      </c>
      <c r="J16" s="4">
        <f t="shared" si="4"/>
        <v>4800</v>
      </c>
      <c r="K16" s="4">
        <v>4832</v>
      </c>
      <c r="L16" s="50">
        <f t="shared" si="5"/>
        <v>4900</v>
      </c>
      <c r="M16" s="11">
        <f t="shared" si="6"/>
        <v>85800</v>
      </c>
      <c r="N16" s="8">
        <v>86704</v>
      </c>
      <c r="O16" s="11">
        <f t="shared" si="7"/>
        <v>87600</v>
      </c>
      <c r="P16" s="4">
        <f t="shared" si="8"/>
        <v>77800</v>
      </c>
      <c r="Q16" s="4">
        <v>78599</v>
      </c>
      <c r="R16" s="50">
        <f t="shared" si="9"/>
        <v>79400</v>
      </c>
    </row>
    <row r="17" spans="2:23">
      <c r="B17" s="61">
        <v>8</v>
      </c>
      <c r="C17" s="3" t="s">
        <v>24</v>
      </c>
      <c r="D17" s="4">
        <f t="shared" si="0"/>
        <v>535100</v>
      </c>
      <c r="E17" s="4">
        <v>540551</v>
      </c>
      <c r="F17" s="50">
        <f t="shared" si="1"/>
        <v>546000</v>
      </c>
      <c r="G17" s="11">
        <f t="shared" si="2"/>
        <v>217700</v>
      </c>
      <c r="H17" s="8">
        <v>219939</v>
      </c>
      <c r="I17" s="11">
        <f t="shared" si="3"/>
        <v>222100</v>
      </c>
      <c r="J17" s="4">
        <f t="shared" si="4"/>
        <v>12500</v>
      </c>
      <c r="K17" s="4">
        <v>12621</v>
      </c>
      <c r="L17" s="50">
        <f t="shared" si="5"/>
        <v>12700</v>
      </c>
      <c r="M17" s="11">
        <f t="shared" si="6"/>
        <v>248800</v>
      </c>
      <c r="N17" s="8">
        <v>251355</v>
      </c>
      <c r="O17" s="11">
        <f t="shared" si="7"/>
        <v>253900</v>
      </c>
      <c r="P17" s="4">
        <f t="shared" si="8"/>
        <v>291100</v>
      </c>
      <c r="Q17" s="4">
        <v>294059</v>
      </c>
      <c r="R17" s="50">
        <f t="shared" si="9"/>
        <v>297000</v>
      </c>
    </row>
    <row r="18" spans="2:23">
      <c r="B18" s="61">
        <v>9</v>
      </c>
      <c r="C18" s="3" t="s">
        <v>25</v>
      </c>
      <c r="D18" s="4">
        <f t="shared" si="0"/>
        <v>335100</v>
      </c>
      <c r="E18" s="4">
        <v>338529</v>
      </c>
      <c r="F18" s="50">
        <f t="shared" si="1"/>
        <v>341900</v>
      </c>
      <c r="G18" s="11">
        <f t="shared" si="2"/>
        <v>144300</v>
      </c>
      <c r="H18" s="8">
        <v>145752</v>
      </c>
      <c r="I18" s="11">
        <f t="shared" si="3"/>
        <v>147200</v>
      </c>
      <c r="J18" s="4">
        <f t="shared" si="4"/>
        <v>5400</v>
      </c>
      <c r="K18" s="4">
        <v>5462</v>
      </c>
      <c r="L18" s="50">
        <f t="shared" si="5"/>
        <v>5500</v>
      </c>
      <c r="M18" s="11">
        <f t="shared" si="6"/>
        <v>116000</v>
      </c>
      <c r="N18" s="8">
        <v>117148</v>
      </c>
      <c r="O18" s="11">
        <f t="shared" si="7"/>
        <v>118300</v>
      </c>
      <c r="P18" s="4">
        <f t="shared" si="8"/>
        <v>163200</v>
      </c>
      <c r="Q18" s="4">
        <v>164885</v>
      </c>
      <c r="R18" s="50">
        <f t="shared" si="9"/>
        <v>166500</v>
      </c>
    </row>
    <row r="19" spans="2:23">
      <c r="C19" s="5" t="s">
        <v>26</v>
      </c>
      <c r="D19" s="6">
        <f t="shared" ref="D19:R19" si="10">SUM(D10:D18)</f>
        <v>10222100</v>
      </c>
      <c r="E19" s="6">
        <f t="shared" si="10"/>
        <v>10325387</v>
      </c>
      <c r="F19" s="51">
        <f t="shared" si="10"/>
        <v>10428600</v>
      </c>
      <c r="G19" s="41">
        <f t="shared" si="10"/>
        <v>4002800</v>
      </c>
      <c r="H19" s="9">
        <f t="shared" si="10"/>
        <v>4043312</v>
      </c>
      <c r="I19" s="41">
        <f t="shared" si="10"/>
        <v>4083700</v>
      </c>
      <c r="J19" s="6">
        <f t="shared" si="10"/>
        <v>174400</v>
      </c>
      <c r="K19" s="6">
        <f t="shared" si="10"/>
        <v>176147</v>
      </c>
      <c r="L19" s="6">
        <f t="shared" si="10"/>
        <v>177900</v>
      </c>
      <c r="M19" s="41">
        <f t="shared" si="10"/>
        <v>5354200</v>
      </c>
      <c r="N19" s="9">
        <f t="shared" si="10"/>
        <v>5408460</v>
      </c>
      <c r="O19" s="41">
        <f t="shared" si="10"/>
        <v>5462600</v>
      </c>
      <c r="P19" s="6">
        <f t="shared" si="10"/>
        <v>5365100</v>
      </c>
      <c r="Q19" s="6">
        <f t="shared" si="10"/>
        <v>5419492</v>
      </c>
      <c r="R19" s="6">
        <f t="shared" si="10"/>
        <v>5473700</v>
      </c>
    </row>
    <row r="22" spans="2:23" ht="18.75">
      <c r="C22" s="1" t="s">
        <v>63</v>
      </c>
    </row>
    <row r="23" spans="2:23" ht="18.75">
      <c r="C23" s="1" t="s">
        <v>1</v>
      </c>
    </row>
    <row r="24" spans="2:23" ht="18.75">
      <c r="C24" s="1" t="s">
        <v>62</v>
      </c>
    </row>
    <row r="27" spans="2:23" ht="36.75" customHeight="1">
      <c r="C27" s="232" t="s">
        <v>28</v>
      </c>
      <c r="D27" s="237" t="s">
        <v>6</v>
      </c>
      <c r="E27" s="237"/>
      <c r="F27" s="237"/>
      <c r="G27" s="234" t="s">
        <v>7</v>
      </c>
      <c r="H27" s="234"/>
      <c r="I27" s="234"/>
      <c r="J27" s="235" t="s">
        <v>8</v>
      </c>
      <c r="K27" s="235"/>
      <c r="L27" s="235"/>
      <c r="M27" s="236" t="s">
        <v>9</v>
      </c>
      <c r="N27" s="236"/>
      <c r="O27" s="236"/>
      <c r="P27" s="235" t="s">
        <v>10</v>
      </c>
      <c r="Q27" s="235"/>
      <c r="R27" s="235"/>
    </row>
    <row r="28" spans="2:23" ht="16.5" thickBot="1">
      <c r="C28" s="233"/>
      <c r="D28" s="2" t="s">
        <v>11</v>
      </c>
      <c r="E28" s="2" t="s">
        <v>12</v>
      </c>
      <c r="F28" s="2" t="s">
        <v>16</v>
      </c>
      <c r="G28" s="7" t="s">
        <v>11</v>
      </c>
      <c r="H28" s="7" t="s">
        <v>12</v>
      </c>
      <c r="I28" s="7" t="s">
        <v>16</v>
      </c>
      <c r="J28" s="2" t="s">
        <v>11</v>
      </c>
      <c r="K28" s="2" t="s">
        <v>12</v>
      </c>
      <c r="L28" s="2" t="s">
        <v>16</v>
      </c>
      <c r="M28" s="7" t="s">
        <v>11</v>
      </c>
      <c r="N28" s="7" t="s">
        <v>12</v>
      </c>
      <c r="O28" s="7" t="s">
        <v>16</v>
      </c>
      <c r="P28" s="2" t="s">
        <v>11</v>
      </c>
      <c r="Q28" s="2" t="s">
        <v>12</v>
      </c>
      <c r="R28" s="2" t="s">
        <v>16</v>
      </c>
    </row>
    <row r="29" spans="2:23" s="22" customFormat="1" thickTop="1">
      <c r="B29" s="62" t="s">
        <v>29</v>
      </c>
      <c r="C29" s="183" t="s">
        <v>30</v>
      </c>
      <c r="D29" s="184">
        <f t="shared" ref="D29:D59" si="11">ROUND((1-$R$6)*E29,-2)</f>
        <v>1260100</v>
      </c>
      <c r="E29" s="184">
        <v>1272801</v>
      </c>
      <c r="F29" s="184">
        <f t="shared" ref="F29:F59" si="12">ROUND((1+$R$6)*E29,-2)</f>
        <v>1285500</v>
      </c>
      <c r="G29" s="185">
        <f t="shared" ref="G29:G59" si="13">ROUND((1-$R$6)*H29,-2)</f>
        <v>572600</v>
      </c>
      <c r="H29" s="185">
        <v>578370</v>
      </c>
      <c r="I29" s="185">
        <f t="shared" ref="I29:I59" si="14">ROUND((1+$R$6)*H29,-2)</f>
        <v>584200</v>
      </c>
      <c r="J29" s="184">
        <f t="shared" ref="J29:J59" si="15">ROUND((1-$R$6)*K29,-2)</f>
        <v>31000</v>
      </c>
      <c r="K29" s="184">
        <v>31277</v>
      </c>
      <c r="L29" s="184">
        <f t="shared" ref="L29:L59" si="16">ROUND((1+$R$6)*K29,-2)</f>
        <v>31600</v>
      </c>
      <c r="M29" s="185">
        <f t="shared" ref="M29:M59" si="17">ROUND((1-$R$6)*N29,-2)</f>
        <v>909000</v>
      </c>
      <c r="N29" s="185">
        <v>918214</v>
      </c>
      <c r="O29" s="185">
        <f t="shared" ref="O29:O59" si="18">ROUND((1+$R$6)*N29,-2)</f>
        <v>927400</v>
      </c>
      <c r="P29" s="184">
        <f t="shared" ref="P29:P59" si="19">ROUND((1-$R$6)*Q29,-2)</f>
        <v>701800</v>
      </c>
      <c r="Q29" s="184">
        <v>708929</v>
      </c>
      <c r="R29" s="184">
        <f t="shared" ref="R29:R59" si="20">ROUND((1+$R$6)*Q29,-2)</f>
        <v>716000</v>
      </c>
      <c r="T29" s="25"/>
      <c r="W29" s="26"/>
    </row>
    <row r="30" spans="2:23">
      <c r="B30" s="61">
        <v>5</v>
      </c>
      <c r="C30" s="13" t="s">
        <v>31</v>
      </c>
      <c r="D30" s="4">
        <f t="shared" si="11"/>
        <v>442100</v>
      </c>
      <c r="E30" s="4">
        <v>446594</v>
      </c>
      <c r="F30" s="4">
        <f t="shared" si="12"/>
        <v>451100</v>
      </c>
      <c r="G30" s="8">
        <f t="shared" si="13"/>
        <v>164700</v>
      </c>
      <c r="H30" s="8">
        <v>166385</v>
      </c>
      <c r="I30" s="8">
        <f t="shared" si="14"/>
        <v>168000</v>
      </c>
      <c r="J30" s="4">
        <f t="shared" si="15"/>
        <v>3700</v>
      </c>
      <c r="K30" s="4">
        <v>3774</v>
      </c>
      <c r="L30" s="4">
        <f t="shared" si="16"/>
        <v>3800</v>
      </c>
      <c r="M30" s="8">
        <f t="shared" si="17"/>
        <v>186300</v>
      </c>
      <c r="N30" s="8">
        <v>188211</v>
      </c>
      <c r="O30" s="8">
        <f t="shared" si="18"/>
        <v>190100</v>
      </c>
      <c r="P30" s="4">
        <f t="shared" si="19"/>
        <v>224500</v>
      </c>
      <c r="Q30" s="4">
        <v>226759</v>
      </c>
      <c r="R30" s="4">
        <f t="shared" si="20"/>
        <v>229000</v>
      </c>
      <c r="T30" s="21"/>
      <c r="W30" s="21"/>
    </row>
    <row r="31" spans="2:23">
      <c r="B31" s="61">
        <v>6</v>
      </c>
      <c r="C31" s="14" t="s">
        <v>32</v>
      </c>
      <c r="D31" s="4">
        <f t="shared" si="11"/>
        <v>285400</v>
      </c>
      <c r="E31" s="4">
        <v>288233</v>
      </c>
      <c r="F31" s="4">
        <f t="shared" si="12"/>
        <v>291100</v>
      </c>
      <c r="G31" s="8">
        <f t="shared" si="13"/>
        <v>120100</v>
      </c>
      <c r="H31" s="8">
        <v>121281</v>
      </c>
      <c r="I31" s="8">
        <f t="shared" si="14"/>
        <v>122500</v>
      </c>
      <c r="J31" s="4">
        <f t="shared" si="15"/>
        <v>3400</v>
      </c>
      <c r="K31" s="4">
        <v>3436</v>
      </c>
      <c r="L31" s="4">
        <f t="shared" si="16"/>
        <v>3500</v>
      </c>
      <c r="M31" s="8">
        <f t="shared" si="17"/>
        <v>121800</v>
      </c>
      <c r="N31" s="8">
        <v>123030</v>
      </c>
      <c r="O31" s="8">
        <f t="shared" si="18"/>
        <v>124300</v>
      </c>
      <c r="P31" s="4">
        <f t="shared" si="19"/>
        <v>151800</v>
      </c>
      <c r="Q31" s="4">
        <v>153304</v>
      </c>
      <c r="R31" s="4">
        <f t="shared" si="20"/>
        <v>154800</v>
      </c>
      <c r="T31" s="21"/>
      <c r="W31" s="21"/>
    </row>
    <row r="32" spans="2:23">
      <c r="B32" s="61">
        <v>7</v>
      </c>
      <c r="C32" s="15" t="s">
        <v>33</v>
      </c>
      <c r="D32" s="27">
        <f t="shared" si="11"/>
        <v>276900</v>
      </c>
      <c r="E32" s="27">
        <v>279689</v>
      </c>
      <c r="F32" s="27">
        <f t="shared" si="12"/>
        <v>282500</v>
      </c>
      <c r="G32" s="29">
        <f t="shared" si="13"/>
        <v>105000</v>
      </c>
      <c r="H32" s="29">
        <v>106107</v>
      </c>
      <c r="I32" s="29">
        <f t="shared" si="14"/>
        <v>107200</v>
      </c>
      <c r="J32" s="27">
        <f t="shared" si="15"/>
        <v>4000</v>
      </c>
      <c r="K32" s="27">
        <v>4056</v>
      </c>
      <c r="L32" s="27">
        <f t="shared" si="16"/>
        <v>4100</v>
      </c>
      <c r="M32" s="29">
        <f t="shared" si="17"/>
        <v>194100</v>
      </c>
      <c r="N32" s="29">
        <v>196076</v>
      </c>
      <c r="O32" s="29">
        <f t="shared" si="18"/>
        <v>198000</v>
      </c>
      <c r="P32" s="27">
        <f t="shared" si="19"/>
        <v>139600</v>
      </c>
      <c r="Q32" s="17">
        <v>140995</v>
      </c>
      <c r="R32" s="27">
        <f t="shared" si="20"/>
        <v>142400</v>
      </c>
      <c r="T32" s="21"/>
      <c r="W32" s="21"/>
    </row>
    <row r="33" spans="2:23">
      <c r="B33" s="61">
        <v>8</v>
      </c>
      <c r="C33" s="13" t="s">
        <v>34</v>
      </c>
      <c r="D33" s="4">
        <f t="shared" si="11"/>
        <v>235600</v>
      </c>
      <c r="E33" s="4">
        <v>237998</v>
      </c>
      <c r="F33" s="4">
        <f t="shared" si="12"/>
        <v>240400</v>
      </c>
      <c r="G33" s="8">
        <f t="shared" si="13"/>
        <v>101000</v>
      </c>
      <c r="H33" s="8">
        <v>102007</v>
      </c>
      <c r="I33" s="8">
        <f t="shared" si="14"/>
        <v>103000</v>
      </c>
      <c r="J33" s="4">
        <f t="shared" si="15"/>
        <v>10200</v>
      </c>
      <c r="K33" s="4">
        <v>10293</v>
      </c>
      <c r="L33" s="4">
        <f t="shared" si="16"/>
        <v>10400</v>
      </c>
      <c r="M33" s="8">
        <f t="shared" si="17"/>
        <v>204800</v>
      </c>
      <c r="N33" s="8">
        <v>206889</v>
      </c>
      <c r="O33" s="8">
        <f t="shared" si="18"/>
        <v>209000</v>
      </c>
      <c r="P33" s="4">
        <f t="shared" si="19"/>
        <v>132700</v>
      </c>
      <c r="Q33" s="4">
        <v>134028</v>
      </c>
      <c r="R33" s="4">
        <f t="shared" si="20"/>
        <v>135400</v>
      </c>
      <c r="T33" s="21"/>
      <c r="W33" s="21"/>
    </row>
    <row r="34" spans="2:23">
      <c r="B34" s="61">
        <v>9</v>
      </c>
      <c r="C34" s="14" t="s">
        <v>35</v>
      </c>
      <c r="D34" s="4">
        <f t="shared" si="11"/>
        <v>747500</v>
      </c>
      <c r="E34" s="4">
        <v>755030</v>
      </c>
      <c r="F34" s="4">
        <f t="shared" si="12"/>
        <v>762600</v>
      </c>
      <c r="G34" s="8">
        <f t="shared" si="13"/>
        <v>316300</v>
      </c>
      <c r="H34" s="8">
        <v>319501</v>
      </c>
      <c r="I34" s="8">
        <f t="shared" si="14"/>
        <v>322700</v>
      </c>
      <c r="J34" s="4">
        <f t="shared" si="15"/>
        <v>2000</v>
      </c>
      <c r="K34" s="4">
        <v>1987</v>
      </c>
      <c r="L34" s="4">
        <f t="shared" si="16"/>
        <v>2000</v>
      </c>
      <c r="M34" s="8">
        <f t="shared" si="17"/>
        <v>622500</v>
      </c>
      <c r="N34" s="8">
        <v>628838</v>
      </c>
      <c r="O34" s="8">
        <f t="shared" si="18"/>
        <v>635100</v>
      </c>
      <c r="P34" s="4">
        <f t="shared" si="19"/>
        <v>418000</v>
      </c>
      <c r="Q34" s="4">
        <v>422204</v>
      </c>
      <c r="R34" s="4">
        <f t="shared" si="20"/>
        <v>426400</v>
      </c>
      <c r="T34" s="21"/>
      <c r="W34" s="21"/>
    </row>
    <row r="35" spans="2:23">
      <c r="B35" s="61">
        <v>10</v>
      </c>
      <c r="C35" s="14" t="s">
        <v>36</v>
      </c>
      <c r="D35" s="4">
        <f t="shared" si="11"/>
        <v>428400</v>
      </c>
      <c r="E35" s="4">
        <v>432772</v>
      </c>
      <c r="F35" s="4">
        <f t="shared" si="12"/>
        <v>437100</v>
      </c>
      <c r="G35" s="8">
        <f t="shared" si="13"/>
        <v>170000</v>
      </c>
      <c r="H35" s="8">
        <v>171671</v>
      </c>
      <c r="I35" s="8">
        <f t="shared" si="14"/>
        <v>173400</v>
      </c>
      <c r="J35" s="4">
        <f t="shared" si="15"/>
        <v>3100</v>
      </c>
      <c r="K35" s="4">
        <v>3151</v>
      </c>
      <c r="L35" s="4">
        <f t="shared" si="16"/>
        <v>3200</v>
      </c>
      <c r="M35" s="8">
        <f t="shared" si="17"/>
        <v>194800</v>
      </c>
      <c r="N35" s="8">
        <v>196739</v>
      </c>
      <c r="O35" s="8">
        <f t="shared" si="18"/>
        <v>198700</v>
      </c>
      <c r="P35" s="4">
        <f t="shared" si="19"/>
        <v>214600</v>
      </c>
      <c r="Q35" s="4">
        <v>216772</v>
      </c>
      <c r="R35" s="4">
        <f t="shared" si="20"/>
        <v>218900</v>
      </c>
      <c r="T35" s="21"/>
      <c r="W35" s="21"/>
    </row>
    <row r="36" spans="2:23">
      <c r="B36" s="61">
        <v>11</v>
      </c>
      <c r="C36" s="14" t="s">
        <v>37</v>
      </c>
      <c r="D36" s="4">
        <f t="shared" si="11"/>
        <v>438200</v>
      </c>
      <c r="E36" s="4">
        <v>442639</v>
      </c>
      <c r="F36" s="4">
        <f t="shared" si="12"/>
        <v>447100</v>
      </c>
      <c r="G36" s="8">
        <f t="shared" si="13"/>
        <v>166100</v>
      </c>
      <c r="H36" s="8">
        <v>167780</v>
      </c>
      <c r="I36" s="8">
        <f t="shared" si="14"/>
        <v>169500</v>
      </c>
      <c r="J36" s="4">
        <f t="shared" si="15"/>
        <v>14400</v>
      </c>
      <c r="K36" s="4">
        <v>14562</v>
      </c>
      <c r="L36" s="4">
        <f t="shared" si="16"/>
        <v>14700</v>
      </c>
      <c r="M36" s="8">
        <f t="shared" si="17"/>
        <v>260800</v>
      </c>
      <c r="N36" s="8">
        <v>263474</v>
      </c>
      <c r="O36" s="8">
        <f t="shared" si="18"/>
        <v>266100</v>
      </c>
      <c r="P36" s="4">
        <f t="shared" si="19"/>
        <v>214500</v>
      </c>
      <c r="Q36" s="4">
        <v>216707</v>
      </c>
      <c r="R36" s="4">
        <f t="shared" si="20"/>
        <v>218900</v>
      </c>
      <c r="T36" s="21"/>
      <c r="W36" s="21"/>
    </row>
    <row r="37" spans="2:23">
      <c r="B37" s="61">
        <v>12</v>
      </c>
      <c r="C37" s="14" t="s">
        <v>38</v>
      </c>
      <c r="D37" s="4">
        <f t="shared" si="11"/>
        <v>624700</v>
      </c>
      <c r="E37" s="4">
        <v>630965</v>
      </c>
      <c r="F37" s="4">
        <f t="shared" si="12"/>
        <v>637300</v>
      </c>
      <c r="G37" s="8">
        <f t="shared" si="13"/>
        <v>178300</v>
      </c>
      <c r="H37" s="8">
        <v>180095</v>
      </c>
      <c r="I37" s="8">
        <f t="shared" si="14"/>
        <v>181900</v>
      </c>
      <c r="J37" s="4">
        <f t="shared" si="15"/>
        <v>4200</v>
      </c>
      <c r="K37" s="4">
        <v>4202</v>
      </c>
      <c r="L37" s="4">
        <f t="shared" si="16"/>
        <v>4200</v>
      </c>
      <c r="M37" s="8">
        <f t="shared" si="17"/>
        <v>168000</v>
      </c>
      <c r="N37" s="8">
        <v>169660</v>
      </c>
      <c r="O37" s="8">
        <f t="shared" si="18"/>
        <v>171400</v>
      </c>
      <c r="P37" s="4">
        <f t="shared" si="19"/>
        <v>285900</v>
      </c>
      <c r="Q37" s="4">
        <v>288788</v>
      </c>
      <c r="R37" s="4">
        <f t="shared" si="20"/>
        <v>291700</v>
      </c>
      <c r="T37" s="21"/>
      <c r="W37" s="21"/>
    </row>
    <row r="38" spans="2:23">
      <c r="B38" s="61">
        <v>13</v>
      </c>
      <c r="C38" s="14" t="s">
        <v>39</v>
      </c>
      <c r="D38" s="4">
        <f t="shared" si="11"/>
        <v>255000</v>
      </c>
      <c r="E38" s="4">
        <v>257578</v>
      </c>
      <c r="F38" s="4">
        <f t="shared" si="12"/>
        <v>260200</v>
      </c>
      <c r="G38" s="8">
        <f t="shared" si="13"/>
        <v>90300</v>
      </c>
      <c r="H38" s="8">
        <v>91229</v>
      </c>
      <c r="I38" s="8">
        <f t="shared" si="14"/>
        <v>92100</v>
      </c>
      <c r="J38" s="4">
        <f t="shared" si="15"/>
        <v>1300</v>
      </c>
      <c r="K38" s="4">
        <v>1335</v>
      </c>
      <c r="L38" s="4">
        <f t="shared" si="16"/>
        <v>1300</v>
      </c>
      <c r="M38" s="8">
        <f t="shared" si="17"/>
        <v>76500</v>
      </c>
      <c r="N38" s="8">
        <v>77314</v>
      </c>
      <c r="O38" s="8">
        <f t="shared" si="18"/>
        <v>78100</v>
      </c>
      <c r="P38" s="4">
        <f t="shared" si="19"/>
        <v>133700</v>
      </c>
      <c r="Q38" s="4">
        <v>135025</v>
      </c>
      <c r="R38" s="4">
        <f t="shared" si="20"/>
        <v>136400</v>
      </c>
      <c r="T38" s="21"/>
      <c r="W38" s="21"/>
    </row>
    <row r="39" spans="2:23">
      <c r="B39" s="61">
        <v>14</v>
      </c>
      <c r="C39" s="15" t="s">
        <v>40</v>
      </c>
      <c r="D39" s="27">
        <f t="shared" si="11"/>
        <v>133100</v>
      </c>
      <c r="E39" s="27">
        <v>134409</v>
      </c>
      <c r="F39" s="27">
        <f t="shared" si="12"/>
        <v>135800</v>
      </c>
      <c r="G39" s="30">
        <f t="shared" si="13"/>
        <v>42500</v>
      </c>
      <c r="H39" s="30">
        <v>42915</v>
      </c>
      <c r="I39" s="30">
        <f t="shared" si="14"/>
        <v>43300</v>
      </c>
      <c r="J39" s="27">
        <f t="shared" si="15"/>
        <v>2000</v>
      </c>
      <c r="K39" s="17">
        <v>2036</v>
      </c>
      <c r="L39" s="27">
        <f t="shared" si="16"/>
        <v>2100</v>
      </c>
      <c r="M39" s="30">
        <f t="shared" si="17"/>
        <v>66900</v>
      </c>
      <c r="N39" s="30">
        <v>67549</v>
      </c>
      <c r="O39" s="30">
        <f t="shared" si="18"/>
        <v>68200</v>
      </c>
      <c r="P39" s="27">
        <f t="shared" si="19"/>
        <v>63500</v>
      </c>
      <c r="Q39" s="17">
        <v>64155</v>
      </c>
      <c r="R39" s="27">
        <f t="shared" si="20"/>
        <v>64800</v>
      </c>
      <c r="T39" s="21"/>
      <c r="W39" s="21"/>
    </row>
    <row r="40" spans="2:23">
      <c r="B40" s="61">
        <v>15</v>
      </c>
      <c r="C40" s="14" t="s">
        <v>41</v>
      </c>
      <c r="D40" s="4">
        <f t="shared" si="11"/>
        <v>343600</v>
      </c>
      <c r="E40" s="4">
        <v>347085</v>
      </c>
      <c r="F40" s="4">
        <f t="shared" si="12"/>
        <v>350600</v>
      </c>
      <c r="G40" s="8">
        <f t="shared" si="13"/>
        <v>130500</v>
      </c>
      <c r="H40" s="8">
        <v>131853</v>
      </c>
      <c r="I40" s="8">
        <f t="shared" si="14"/>
        <v>133200</v>
      </c>
      <c r="J40" s="4">
        <f t="shared" si="15"/>
        <v>2400</v>
      </c>
      <c r="K40" s="4">
        <v>2473</v>
      </c>
      <c r="L40" s="4">
        <f t="shared" si="16"/>
        <v>2500</v>
      </c>
      <c r="M40" s="8">
        <f t="shared" si="17"/>
        <v>154400</v>
      </c>
      <c r="N40" s="8">
        <v>155911</v>
      </c>
      <c r="O40" s="8">
        <f t="shared" si="18"/>
        <v>157500</v>
      </c>
      <c r="P40" s="4">
        <f t="shared" si="19"/>
        <v>196700</v>
      </c>
      <c r="Q40" s="4">
        <v>198659</v>
      </c>
      <c r="R40" s="4">
        <f t="shared" si="20"/>
        <v>200600</v>
      </c>
      <c r="T40" s="21"/>
      <c r="W40" s="21"/>
    </row>
    <row r="41" spans="2:23">
      <c r="B41" s="61">
        <v>16</v>
      </c>
      <c r="C41" s="14" t="s">
        <v>42</v>
      </c>
      <c r="D41" s="4">
        <f t="shared" si="11"/>
        <v>440000</v>
      </c>
      <c r="E41" s="4">
        <v>444433</v>
      </c>
      <c r="F41" s="4">
        <f t="shared" si="12"/>
        <v>448900</v>
      </c>
      <c r="G41" s="8">
        <f t="shared" si="13"/>
        <v>150600</v>
      </c>
      <c r="H41" s="8">
        <v>152142</v>
      </c>
      <c r="I41" s="8">
        <f t="shared" si="14"/>
        <v>153700</v>
      </c>
      <c r="J41" s="4">
        <f t="shared" si="15"/>
        <v>3200</v>
      </c>
      <c r="K41" s="4">
        <v>3244</v>
      </c>
      <c r="L41" s="4">
        <f t="shared" si="16"/>
        <v>3300</v>
      </c>
      <c r="M41" s="8">
        <f t="shared" si="17"/>
        <v>218700</v>
      </c>
      <c r="N41" s="8">
        <v>220872</v>
      </c>
      <c r="O41" s="8">
        <f t="shared" si="18"/>
        <v>223100</v>
      </c>
      <c r="P41" s="4">
        <f t="shared" si="19"/>
        <v>240000</v>
      </c>
      <c r="Q41" s="4">
        <v>242395</v>
      </c>
      <c r="R41" s="4">
        <f t="shared" si="20"/>
        <v>244800</v>
      </c>
      <c r="T41" s="21"/>
      <c r="W41" s="21"/>
    </row>
    <row r="42" spans="2:23">
      <c r="B42" s="61">
        <v>17</v>
      </c>
      <c r="C42" s="14" t="s">
        <v>43</v>
      </c>
      <c r="D42" s="4">
        <f t="shared" si="11"/>
        <v>444900</v>
      </c>
      <c r="E42" s="4">
        <v>449405</v>
      </c>
      <c r="F42" s="4">
        <f t="shared" si="12"/>
        <v>453900</v>
      </c>
      <c r="G42" s="8">
        <f t="shared" si="13"/>
        <v>158900</v>
      </c>
      <c r="H42" s="8">
        <v>160465</v>
      </c>
      <c r="I42" s="8">
        <f t="shared" si="14"/>
        <v>162100</v>
      </c>
      <c r="J42" s="4">
        <f t="shared" si="15"/>
        <v>7800</v>
      </c>
      <c r="K42" s="4">
        <v>7901</v>
      </c>
      <c r="L42" s="4">
        <f t="shared" si="16"/>
        <v>8000</v>
      </c>
      <c r="M42" s="8">
        <f t="shared" si="17"/>
        <v>282000</v>
      </c>
      <c r="N42" s="8">
        <v>284891</v>
      </c>
      <c r="O42" s="8">
        <f t="shared" si="18"/>
        <v>287700</v>
      </c>
      <c r="P42" s="4">
        <f t="shared" si="19"/>
        <v>217700</v>
      </c>
      <c r="Q42" s="4">
        <v>219870</v>
      </c>
      <c r="R42" s="4">
        <f t="shared" si="20"/>
        <v>222100</v>
      </c>
      <c r="T42" s="21"/>
      <c r="W42" s="21"/>
    </row>
    <row r="43" spans="2:23">
      <c r="B43" s="61">
        <v>18</v>
      </c>
      <c r="C43" s="14" t="s">
        <v>44</v>
      </c>
      <c r="D43" s="4">
        <f t="shared" si="11"/>
        <v>680000</v>
      </c>
      <c r="E43" s="4">
        <v>686885</v>
      </c>
      <c r="F43" s="4">
        <f t="shared" si="12"/>
        <v>693800</v>
      </c>
      <c r="G43" s="8">
        <f t="shared" si="13"/>
        <v>284200</v>
      </c>
      <c r="H43" s="8">
        <v>287103</v>
      </c>
      <c r="I43" s="8">
        <f t="shared" si="14"/>
        <v>290000</v>
      </c>
      <c r="J43" s="4">
        <f t="shared" si="15"/>
        <v>11400</v>
      </c>
      <c r="K43" s="4">
        <v>11493</v>
      </c>
      <c r="L43" s="4">
        <f t="shared" si="16"/>
        <v>11600</v>
      </c>
      <c r="M43" s="8">
        <f t="shared" si="17"/>
        <v>354500</v>
      </c>
      <c r="N43" s="8">
        <v>358088</v>
      </c>
      <c r="O43" s="8">
        <f t="shared" si="18"/>
        <v>361700</v>
      </c>
      <c r="P43" s="4">
        <f t="shared" si="19"/>
        <v>348400</v>
      </c>
      <c r="Q43" s="4">
        <v>351967</v>
      </c>
      <c r="R43" s="4">
        <f t="shared" si="20"/>
        <v>355500</v>
      </c>
      <c r="T43" s="21"/>
      <c r="W43" s="21"/>
    </row>
    <row r="44" spans="2:23">
      <c r="B44" s="61">
        <v>19</v>
      </c>
      <c r="C44" s="16" t="s">
        <v>45</v>
      </c>
      <c r="D44" s="27">
        <f t="shared" si="11"/>
        <v>245500</v>
      </c>
      <c r="E44" s="27">
        <v>248030</v>
      </c>
      <c r="F44" s="27">
        <f t="shared" si="12"/>
        <v>250500</v>
      </c>
      <c r="G44" s="30">
        <f t="shared" si="13"/>
        <v>114100</v>
      </c>
      <c r="H44" s="30">
        <v>115206</v>
      </c>
      <c r="I44" s="30">
        <f t="shared" si="14"/>
        <v>116400</v>
      </c>
      <c r="J44" s="27">
        <f t="shared" si="15"/>
        <v>18900</v>
      </c>
      <c r="K44" s="17">
        <v>19057</v>
      </c>
      <c r="L44" s="27">
        <f t="shared" si="16"/>
        <v>19200</v>
      </c>
      <c r="M44" s="30">
        <f t="shared" si="17"/>
        <v>160600</v>
      </c>
      <c r="N44" s="30">
        <v>162262</v>
      </c>
      <c r="O44" s="30">
        <f t="shared" si="18"/>
        <v>163900</v>
      </c>
      <c r="P44" s="27">
        <f t="shared" si="19"/>
        <v>136600</v>
      </c>
      <c r="Q44" s="17">
        <v>138028</v>
      </c>
      <c r="R44" s="27">
        <f t="shared" si="20"/>
        <v>139400</v>
      </c>
      <c r="T44" s="21"/>
      <c r="W44" s="21"/>
    </row>
    <row r="45" spans="2:23">
      <c r="B45" s="61">
        <v>20</v>
      </c>
      <c r="C45" s="14" t="s">
        <v>46</v>
      </c>
      <c r="D45" s="4">
        <f t="shared" si="11"/>
        <v>325900</v>
      </c>
      <c r="E45" s="4">
        <v>329143</v>
      </c>
      <c r="F45" s="4">
        <f t="shared" si="12"/>
        <v>332400</v>
      </c>
      <c r="G45" s="8">
        <f t="shared" si="13"/>
        <v>121500</v>
      </c>
      <c r="H45" s="8">
        <v>122677</v>
      </c>
      <c r="I45" s="8">
        <f t="shared" si="14"/>
        <v>123900</v>
      </c>
      <c r="J45" s="4">
        <f t="shared" si="15"/>
        <v>2300</v>
      </c>
      <c r="K45" s="4">
        <v>2312</v>
      </c>
      <c r="L45" s="4">
        <f t="shared" si="16"/>
        <v>2300</v>
      </c>
      <c r="M45" s="8">
        <f t="shared" si="17"/>
        <v>130400</v>
      </c>
      <c r="N45" s="8">
        <v>131695</v>
      </c>
      <c r="O45" s="8">
        <f t="shared" si="18"/>
        <v>133000</v>
      </c>
      <c r="P45" s="4">
        <f t="shared" si="19"/>
        <v>163500</v>
      </c>
      <c r="Q45" s="4">
        <v>165188</v>
      </c>
      <c r="R45" s="4">
        <f t="shared" si="20"/>
        <v>166800</v>
      </c>
      <c r="T45" s="21"/>
      <c r="W45" s="21"/>
    </row>
    <row r="46" spans="2:23">
      <c r="B46" s="61">
        <v>21</v>
      </c>
      <c r="C46" s="14" t="s">
        <v>47</v>
      </c>
      <c r="D46" s="4">
        <f t="shared" si="11"/>
        <v>339600</v>
      </c>
      <c r="E46" s="4">
        <v>343025</v>
      </c>
      <c r="F46" s="4">
        <f t="shared" si="12"/>
        <v>346500</v>
      </c>
      <c r="G46" s="8">
        <f t="shared" si="13"/>
        <v>132600</v>
      </c>
      <c r="H46" s="8">
        <v>133900</v>
      </c>
      <c r="I46" s="8">
        <f t="shared" si="14"/>
        <v>135200</v>
      </c>
      <c r="J46" s="4">
        <f t="shared" si="15"/>
        <v>3100</v>
      </c>
      <c r="K46" s="4">
        <v>3163</v>
      </c>
      <c r="L46" s="4">
        <f t="shared" si="16"/>
        <v>3200</v>
      </c>
      <c r="M46" s="8">
        <f t="shared" si="17"/>
        <v>182300</v>
      </c>
      <c r="N46" s="8">
        <v>184171</v>
      </c>
      <c r="O46" s="8">
        <f t="shared" si="18"/>
        <v>186000</v>
      </c>
      <c r="P46" s="4">
        <f t="shared" si="19"/>
        <v>186100</v>
      </c>
      <c r="Q46" s="4">
        <v>187934</v>
      </c>
      <c r="R46" s="4">
        <f t="shared" si="20"/>
        <v>189800</v>
      </c>
      <c r="T46" s="21"/>
      <c r="W46" s="21"/>
    </row>
    <row r="47" spans="2:23">
      <c r="B47" s="61">
        <v>22</v>
      </c>
      <c r="C47" s="14" t="s">
        <v>48</v>
      </c>
      <c r="D47" s="4">
        <f t="shared" si="11"/>
        <v>192700</v>
      </c>
      <c r="E47" s="4">
        <v>194684</v>
      </c>
      <c r="F47" s="4">
        <f t="shared" si="12"/>
        <v>196600</v>
      </c>
      <c r="G47" s="8">
        <f t="shared" si="13"/>
        <v>88000</v>
      </c>
      <c r="H47" s="8">
        <v>88909</v>
      </c>
      <c r="I47" s="8">
        <f t="shared" si="14"/>
        <v>89800</v>
      </c>
      <c r="J47" s="4">
        <f t="shared" si="15"/>
        <v>4200</v>
      </c>
      <c r="K47" s="4">
        <v>4201</v>
      </c>
      <c r="L47" s="4">
        <f t="shared" si="16"/>
        <v>4200</v>
      </c>
      <c r="M47" s="8">
        <f t="shared" si="17"/>
        <v>73000</v>
      </c>
      <c r="N47" s="8">
        <v>73760</v>
      </c>
      <c r="O47" s="8">
        <f t="shared" si="18"/>
        <v>74500</v>
      </c>
      <c r="P47" s="4">
        <f t="shared" si="19"/>
        <v>113100</v>
      </c>
      <c r="Q47" s="4">
        <v>114219</v>
      </c>
      <c r="R47" s="4">
        <f t="shared" si="20"/>
        <v>115400</v>
      </c>
      <c r="T47" s="21"/>
      <c r="W47" s="21"/>
    </row>
    <row r="48" spans="2:23">
      <c r="B48" s="61">
        <v>23</v>
      </c>
      <c r="C48" s="14" t="s">
        <v>49</v>
      </c>
      <c r="D48" s="4">
        <f t="shared" si="11"/>
        <v>181200</v>
      </c>
      <c r="E48" s="4">
        <v>183077</v>
      </c>
      <c r="F48" s="4">
        <f t="shared" si="12"/>
        <v>184900</v>
      </c>
      <c r="G48" s="8">
        <f t="shared" si="13"/>
        <v>69200</v>
      </c>
      <c r="H48" s="8">
        <v>69851</v>
      </c>
      <c r="I48" s="8">
        <f t="shared" si="14"/>
        <v>70500</v>
      </c>
      <c r="J48" s="4">
        <f t="shared" si="15"/>
        <v>700</v>
      </c>
      <c r="K48" s="4">
        <v>744</v>
      </c>
      <c r="L48" s="4">
        <f t="shared" si="16"/>
        <v>800</v>
      </c>
      <c r="M48" s="8">
        <f t="shared" si="17"/>
        <v>59900</v>
      </c>
      <c r="N48" s="8">
        <v>60456</v>
      </c>
      <c r="O48" s="8">
        <f t="shared" si="18"/>
        <v>61100</v>
      </c>
      <c r="P48" s="4">
        <f t="shared" si="19"/>
        <v>112500</v>
      </c>
      <c r="Q48" s="4">
        <v>113623</v>
      </c>
      <c r="R48" s="4">
        <f t="shared" si="20"/>
        <v>114800</v>
      </c>
      <c r="T48" s="21"/>
      <c r="W48" s="21"/>
    </row>
    <row r="49" spans="2:23">
      <c r="B49" s="61">
        <v>24</v>
      </c>
      <c r="C49" s="16" t="s">
        <v>50</v>
      </c>
      <c r="D49" s="27">
        <f t="shared" si="11"/>
        <v>401000</v>
      </c>
      <c r="E49" s="27">
        <v>405039</v>
      </c>
      <c r="F49" s="27">
        <f t="shared" si="12"/>
        <v>409100</v>
      </c>
      <c r="G49" s="30">
        <f t="shared" si="13"/>
        <v>134700</v>
      </c>
      <c r="H49" s="30">
        <v>136041</v>
      </c>
      <c r="I49" s="30">
        <f t="shared" si="14"/>
        <v>137400</v>
      </c>
      <c r="J49" s="27">
        <f t="shared" si="15"/>
        <v>2100</v>
      </c>
      <c r="K49" s="17">
        <v>2133</v>
      </c>
      <c r="L49" s="27">
        <f t="shared" si="16"/>
        <v>2200</v>
      </c>
      <c r="M49" s="30">
        <f t="shared" si="17"/>
        <v>82900</v>
      </c>
      <c r="N49" s="30">
        <v>83695</v>
      </c>
      <c r="O49" s="30">
        <f t="shared" si="18"/>
        <v>84500</v>
      </c>
      <c r="P49" s="27">
        <f t="shared" si="19"/>
        <v>183400</v>
      </c>
      <c r="Q49" s="17">
        <v>185286</v>
      </c>
      <c r="R49" s="27">
        <f t="shared" si="20"/>
        <v>187100</v>
      </c>
      <c r="T49" s="21"/>
      <c r="W49" s="21"/>
    </row>
    <row r="50" spans="2:23">
      <c r="B50" s="61">
        <v>25</v>
      </c>
      <c r="C50" s="14" t="s">
        <v>51</v>
      </c>
      <c r="D50" s="4">
        <f t="shared" si="11"/>
        <v>149800</v>
      </c>
      <c r="E50" s="4">
        <v>151359</v>
      </c>
      <c r="F50" s="4">
        <f t="shared" si="12"/>
        <v>152900</v>
      </c>
      <c r="G50" s="8">
        <f t="shared" si="13"/>
        <v>56500</v>
      </c>
      <c r="H50" s="8">
        <v>57065</v>
      </c>
      <c r="I50" s="8">
        <f t="shared" si="14"/>
        <v>57600</v>
      </c>
      <c r="J50" s="4">
        <f t="shared" si="15"/>
        <v>2400</v>
      </c>
      <c r="K50" s="4">
        <v>2421</v>
      </c>
      <c r="L50" s="4">
        <f t="shared" si="16"/>
        <v>2400</v>
      </c>
      <c r="M50" s="8">
        <f t="shared" si="17"/>
        <v>61600</v>
      </c>
      <c r="N50" s="8">
        <v>62249</v>
      </c>
      <c r="O50" s="8">
        <f t="shared" si="18"/>
        <v>62900</v>
      </c>
      <c r="P50" s="4">
        <f t="shared" si="19"/>
        <v>80600</v>
      </c>
      <c r="Q50" s="4">
        <v>81375</v>
      </c>
      <c r="R50" s="4">
        <f t="shared" si="20"/>
        <v>82200</v>
      </c>
      <c r="T50" s="21"/>
      <c r="W50" s="21"/>
    </row>
    <row r="51" spans="2:23">
      <c r="B51" s="61">
        <v>26</v>
      </c>
      <c r="C51" s="16" t="s">
        <v>52</v>
      </c>
      <c r="D51" s="27">
        <f t="shared" si="11"/>
        <v>335100</v>
      </c>
      <c r="E51" s="27">
        <v>338528</v>
      </c>
      <c r="F51" s="27">
        <f t="shared" si="12"/>
        <v>341900</v>
      </c>
      <c r="G51" s="30">
        <f t="shared" si="13"/>
        <v>118300</v>
      </c>
      <c r="H51" s="30">
        <v>119467</v>
      </c>
      <c r="I51" s="30">
        <f t="shared" si="14"/>
        <v>120700</v>
      </c>
      <c r="J51" s="27">
        <f t="shared" si="15"/>
        <v>13800</v>
      </c>
      <c r="K51" s="17">
        <v>13981</v>
      </c>
      <c r="L51" s="27">
        <f t="shared" si="16"/>
        <v>14100</v>
      </c>
      <c r="M51" s="30">
        <f t="shared" si="17"/>
        <v>137800</v>
      </c>
      <c r="N51" s="30">
        <v>139209</v>
      </c>
      <c r="O51" s="30">
        <f t="shared" si="18"/>
        <v>140600</v>
      </c>
      <c r="P51" s="27">
        <f t="shared" si="19"/>
        <v>174000</v>
      </c>
      <c r="Q51" s="17">
        <v>175739</v>
      </c>
      <c r="R51" s="27">
        <f t="shared" si="20"/>
        <v>177500</v>
      </c>
      <c r="T51" s="21"/>
      <c r="W51" s="21"/>
    </row>
    <row r="52" spans="2:23">
      <c r="B52" s="61">
        <v>27</v>
      </c>
      <c r="C52" s="14" t="s">
        <v>53</v>
      </c>
      <c r="D52" s="4">
        <f t="shared" si="11"/>
        <v>106800</v>
      </c>
      <c r="E52" s="4">
        <v>107859</v>
      </c>
      <c r="F52" s="4">
        <f t="shared" si="12"/>
        <v>108900</v>
      </c>
      <c r="G52" s="8">
        <f t="shared" si="13"/>
        <v>39200</v>
      </c>
      <c r="H52" s="8">
        <v>39577</v>
      </c>
      <c r="I52" s="8">
        <f t="shared" si="14"/>
        <v>40000</v>
      </c>
      <c r="J52" s="4">
        <f t="shared" si="15"/>
        <v>1500</v>
      </c>
      <c r="K52" s="4">
        <v>1502</v>
      </c>
      <c r="L52" s="4">
        <f t="shared" si="16"/>
        <v>1500</v>
      </c>
      <c r="M52" s="8">
        <f t="shared" si="17"/>
        <v>65600</v>
      </c>
      <c r="N52" s="8">
        <v>66214</v>
      </c>
      <c r="O52" s="8">
        <f t="shared" si="18"/>
        <v>66900</v>
      </c>
      <c r="P52" s="4">
        <f t="shared" si="19"/>
        <v>53500</v>
      </c>
      <c r="Q52" s="4">
        <v>54049</v>
      </c>
      <c r="R52" s="4">
        <f t="shared" si="20"/>
        <v>54600</v>
      </c>
      <c r="T52" s="21"/>
      <c r="W52" s="21"/>
    </row>
    <row r="53" spans="2:23">
      <c r="B53" s="61">
        <v>28</v>
      </c>
      <c r="C53" s="16" t="s">
        <v>54</v>
      </c>
      <c r="D53" s="27">
        <f t="shared" si="11"/>
        <v>38600</v>
      </c>
      <c r="E53" s="27">
        <v>39005</v>
      </c>
      <c r="F53" s="27">
        <f t="shared" si="12"/>
        <v>39400</v>
      </c>
      <c r="G53" s="30">
        <f t="shared" si="13"/>
        <v>15900</v>
      </c>
      <c r="H53" s="30">
        <v>16024</v>
      </c>
      <c r="I53" s="30">
        <f t="shared" si="14"/>
        <v>16200</v>
      </c>
      <c r="J53" s="27">
        <f t="shared" si="15"/>
        <v>3300</v>
      </c>
      <c r="K53" s="17">
        <v>3330</v>
      </c>
      <c r="L53" s="27">
        <f t="shared" si="16"/>
        <v>3400</v>
      </c>
      <c r="M53" s="30">
        <f t="shared" si="17"/>
        <v>20300</v>
      </c>
      <c r="N53" s="30">
        <v>20490</v>
      </c>
      <c r="O53" s="30">
        <f t="shared" si="18"/>
        <v>20700</v>
      </c>
      <c r="P53" s="27">
        <f t="shared" si="19"/>
        <v>24300</v>
      </c>
      <c r="Q53" s="17">
        <v>24550</v>
      </c>
      <c r="R53" s="27">
        <f t="shared" si="20"/>
        <v>24800</v>
      </c>
      <c r="T53" s="21"/>
      <c r="W53" s="21"/>
    </row>
    <row r="54" spans="2:23">
      <c r="B54" s="61">
        <v>29</v>
      </c>
      <c r="C54" s="14" t="s">
        <v>55</v>
      </c>
      <c r="D54" s="4">
        <f t="shared" si="11"/>
        <v>201200</v>
      </c>
      <c r="E54" s="4">
        <v>203249</v>
      </c>
      <c r="F54" s="4">
        <f t="shared" si="12"/>
        <v>205300</v>
      </c>
      <c r="G54" s="8">
        <f t="shared" si="13"/>
        <v>82500</v>
      </c>
      <c r="H54" s="8">
        <v>83297</v>
      </c>
      <c r="I54" s="8">
        <f t="shared" si="14"/>
        <v>84100</v>
      </c>
      <c r="J54" s="4">
        <f t="shared" si="15"/>
        <v>6600</v>
      </c>
      <c r="K54" s="4">
        <v>6703</v>
      </c>
      <c r="L54" s="4">
        <f t="shared" si="16"/>
        <v>6800</v>
      </c>
      <c r="M54" s="8">
        <f t="shared" si="17"/>
        <v>79600</v>
      </c>
      <c r="N54" s="8">
        <v>80384</v>
      </c>
      <c r="O54" s="8">
        <f t="shared" si="18"/>
        <v>81200</v>
      </c>
      <c r="P54" s="4">
        <f t="shared" si="19"/>
        <v>115200</v>
      </c>
      <c r="Q54" s="4">
        <v>116405</v>
      </c>
      <c r="R54" s="4">
        <f t="shared" si="20"/>
        <v>117600</v>
      </c>
      <c r="T54" s="21"/>
      <c r="W54" s="21"/>
    </row>
    <row r="55" spans="2:23">
      <c r="B55" s="61">
        <v>30</v>
      </c>
      <c r="C55" s="14" t="s">
        <v>56</v>
      </c>
      <c r="D55" s="4">
        <f t="shared" si="11"/>
        <v>241400</v>
      </c>
      <c r="E55" s="4">
        <v>243843</v>
      </c>
      <c r="F55" s="4">
        <f t="shared" si="12"/>
        <v>246300</v>
      </c>
      <c r="G55" s="8">
        <f t="shared" si="13"/>
        <v>96700</v>
      </c>
      <c r="H55" s="8">
        <v>97646</v>
      </c>
      <c r="I55" s="8">
        <f t="shared" si="14"/>
        <v>98600</v>
      </c>
      <c r="J55" s="4">
        <f t="shared" si="15"/>
        <v>4600</v>
      </c>
      <c r="K55" s="4">
        <v>4664</v>
      </c>
      <c r="L55" s="4">
        <f t="shared" si="16"/>
        <v>4700</v>
      </c>
      <c r="M55" s="8">
        <f t="shared" si="17"/>
        <v>129800</v>
      </c>
      <c r="N55" s="8">
        <v>131138</v>
      </c>
      <c r="O55" s="8">
        <f t="shared" si="18"/>
        <v>132400</v>
      </c>
      <c r="P55" s="4">
        <f t="shared" si="19"/>
        <v>129500</v>
      </c>
      <c r="Q55" s="4">
        <v>130771</v>
      </c>
      <c r="R55" s="4">
        <f t="shared" si="20"/>
        <v>132100</v>
      </c>
      <c r="T55" s="21"/>
      <c r="W55" s="21"/>
    </row>
    <row r="56" spans="2:23">
      <c r="B56" s="61">
        <v>31</v>
      </c>
      <c r="C56" s="15" t="s">
        <v>57</v>
      </c>
      <c r="D56" s="27">
        <f t="shared" si="11"/>
        <v>92500</v>
      </c>
      <c r="E56" s="27">
        <v>93455</v>
      </c>
      <c r="F56" s="27">
        <f t="shared" si="12"/>
        <v>94400</v>
      </c>
      <c r="G56" s="30">
        <f t="shared" si="13"/>
        <v>38600</v>
      </c>
      <c r="H56" s="30">
        <v>38996</v>
      </c>
      <c r="I56" s="30">
        <f t="shared" si="14"/>
        <v>39400</v>
      </c>
      <c r="J56" s="27">
        <f t="shared" si="15"/>
        <v>1200</v>
      </c>
      <c r="K56" s="17">
        <v>1254</v>
      </c>
      <c r="L56" s="27">
        <f t="shared" si="16"/>
        <v>1300</v>
      </c>
      <c r="M56" s="30">
        <f t="shared" si="17"/>
        <v>39400</v>
      </c>
      <c r="N56" s="30">
        <v>39833</v>
      </c>
      <c r="O56" s="30">
        <f t="shared" si="18"/>
        <v>40200</v>
      </c>
      <c r="P56" s="27">
        <f t="shared" si="19"/>
        <v>46400</v>
      </c>
      <c r="Q56" s="17">
        <v>46883</v>
      </c>
      <c r="R56" s="27">
        <f t="shared" si="20"/>
        <v>47400</v>
      </c>
      <c r="T56" s="21"/>
      <c r="W56" s="21"/>
    </row>
    <row r="57" spans="2:23">
      <c r="B57" s="61">
        <v>32</v>
      </c>
      <c r="C57" s="14" t="s">
        <v>58</v>
      </c>
      <c r="D57" s="4">
        <f t="shared" si="11"/>
        <v>71000</v>
      </c>
      <c r="E57" s="4">
        <v>71717</v>
      </c>
      <c r="F57" s="4">
        <f t="shared" si="12"/>
        <v>72400</v>
      </c>
      <c r="G57" s="8">
        <f t="shared" si="13"/>
        <v>29300</v>
      </c>
      <c r="H57" s="8">
        <v>29637</v>
      </c>
      <c r="I57" s="8">
        <f t="shared" si="14"/>
        <v>29900</v>
      </c>
      <c r="J57" s="4">
        <f t="shared" si="15"/>
        <v>900</v>
      </c>
      <c r="K57" s="4">
        <v>882</v>
      </c>
      <c r="L57" s="4">
        <f t="shared" si="16"/>
        <v>900</v>
      </c>
      <c r="M57" s="8">
        <f t="shared" si="17"/>
        <v>28500</v>
      </c>
      <c r="N57" s="8">
        <v>28827</v>
      </c>
      <c r="O57" s="8">
        <f t="shared" si="18"/>
        <v>29100</v>
      </c>
      <c r="P57" s="4">
        <f t="shared" si="19"/>
        <v>26600</v>
      </c>
      <c r="Q57" s="4">
        <v>26913</v>
      </c>
      <c r="R57" s="4">
        <f t="shared" si="20"/>
        <v>27200</v>
      </c>
      <c r="T57" s="21"/>
      <c r="W57" s="21"/>
    </row>
    <row r="58" spans="2:23">
      <c r="B58" s="61">
        <v>33</v>
      </c>
      <c r="C58" s="14" t="s">
        <v>59</v>
      </c>
      <c r="D58" s="4">
        <f t="shared" si="11"/>
        <v>159000</v>
      </c>
      <c r="E58" s="4">
        <v>160597</v>
      </c>
      <c r="F58" s="4">
        <f t="shared" si="12"/>
        <v>162200</v>
      </c>
      <c r="G58" s="8">
        <f t="shared" si="13"/>
        <v>65200</v>
      </c>
      <c r="H58" s="8">
        <v>65866</v>
      </c>
      <c r="I58" s="8">
        <f t="shared" si="14"/>
        <v>66500</v>
      </c>
      <c r="J58" s="4">
        <f t="shared" si="15"/>
        <v>3400</v>
      </c>
      <c r="K58" s="4">
        <v>3400</v>
      </c>
      <c r="L58" s="4">
        <f t="shared" si="16"/>
        <v>3400</v>
      </c>
      <c r="M58" s="8">
        <f t="shared" si="17"/>
        <v>48200</v>
      </c>
      <c r="N58" s="8">
        <v>48658</v>
      </c>
      <c r="O58" s="8">
        <f t="shared" si="18"/>
        <v>49100</v>
      </c>
      <c r="P58" s="4">
        <f t="shared" si="19"/>
        <v>72600</v>
      </c>
      <c r="Q58" s="4">
        <v>73361</v>
      </c>
      <c r="R58" s="4">
        <f t="shared" si="20"/>
        <v>74100</v>
      </c>
      <c r="T58" s="21"/>
      <c r="W58" s="21"/>
    </row>
    <row r="59" spans="2:23">
      <c r="B59" s="61">
        <v>34</v>
      </c>
      <c r="C59" s="16" t="s">
        <v>60</v>
      </c>
      <c r="D59" s="4">
        <f t="shared" si="11"/>
        <v>105100</v>
      </c>
      <c r="E59" s="17">
        <v>106211</v>
      </c>
      <c r="F59" s="4">
        <f t="shared" si="12"/>
        <v>107300</v>
      </c>
      <c r="G59" s="30">
        <f t="shared" si="13"/>
        <v>49700</v>
      </c>
      <c r="H59" s="30">
        <v>50249</v>
      </c>
      <c r="I59" s="30">
        <f t="shared" si="14"/>
        <v>50800</v>
      </c>
      <c r="J59" s="4">
        <f t="shared" si="15"/>
        <v>1200</v>
      </c>
      <c r="K59" s="17">
        <v>1180</v>
      </c>
      <c r="L59" s="4">
        <f t="shared" si="16"/>
        <v>1200</v>
      </c>
      <c r="M59" s="30">
        <f t="shared" si="17"/>
        <v>39300</v>
      </c>
      <c r="N59" s="30">
        <v>39663</v>
      </c>
      <c r="O59" s="30">
        <f t="shared" si="18"/>
        <v>40100</v>
      </c>
      <c r="P59" s="4">
        <f t="shared" si="19"/>
        <v>64000</v>
      </c>
      <c r="Q59" s="17">
        <v>64611</v>
      </c>
      <c r="R59" s="4">
        <f t="shared" si="20"/>
        <v>65300</v>
      </c>
      <c r="T59" s="21"/>
      <c r="W59" s="21"/>
    </row>
    <row r="60" spans="2:23">
      <c r="C60" s="18" t="s">
        <v>26</v>
      </c>
      <c r="D60" s="20">
        <f t="shared" ref="D60:R60" si="21">SUM(D29:D59)</f>
        <v>10221900</v>
      </c>
      <c r="E60" s="20">
        <f>SUM(E29:E59)</f>
        <v>10325337</v>
      </c>
      <c r="F60" s="20">
        <f t="shared" si="21"/>
        <v>10428900</v>
      </c>
      <c r="G60" s="31">
        <f t="shared" si="21"/>
        <v>4003100</v>
      </c>
      <c r="H60" s="31">
        <f t="shared" si="21"/>
        <v>4043312</v>
      </c>
      <c r="I60" s="31">
        <f t="shared" si="21"/>
        <v>4083800</v>
      </c>
      <c r="J60" s="20">
        <f t="shared" si="21"/>
        <v>174300</v>
      </c>
      <c r="K60" s="20">
        <f t="shared" si="21"/>
        <v>176147</v>
      </c>
      <c r="L60" s="20">
        <f t="shared" si="21"/>
        <v>177900</v>
      </c>
      <c r="M60" s="31">
        <f t="shared" si="21"/>
        <v>5354300</v>
      </c>
      <c r="N60" s="31">
        <f t="shared" si="21"/>
        <v>5408460</v>
      </c>
      <c r="O60" s="31">
        <f t="shared" si="21"/>
        <v>5462600</v>
      </c>
      <c r="P60" s="20">
        <f t="shared" si="21"/>
        <v>5365300</v>
      </c>
      <c r="Q60" s="20">
        <f t="shared" si="21"/>
        <v>5419492</v>
      </c>
      <c r="R60" s="20">
        <f t="shared" si="21"/>
        <v>5473800</v>
      </c>
    </row>
  </sheetData>
  <mergeCells count="12">
    <mergeCell ref="C8:C9"/>
    <mergeCell ref="G8:I8"/>
    <mergeCell ref="J8:L8"/>
    <mergeCell ref="M8:O8"/>
    <mergeCell ref="P8:R8"/>
    <mergeCell ref="D8:F8"/>
    <mergeCell ref="C27:C28"/>
    <mergeCell ref="G27:I27"/>
    <mergeCell ref="J27:L27"/>
    <mergeCell ref="M27:O27"/>
    <mergeCell ref="P27:R27"/>
    <mergeCell ref="D27:F27"/>
  </mergeCells>
  <hyperlinks>
    <hyperlink ref="D5" r:id="rId1" xr:uid="{6D54303C-E74B-4D4E-98E7-CA2511FC35CE}"/>
  </hyperlinks>
  <pageMargins left="0.25" right="0.25" top="0.75" bottom="0.75" header="0.3" footer="0.3"/>
  <pageSetup paperSize="3" scale="53" fitToHeight="2" orientation="landscape" verticalDpi="0" r:id="rId2"/>
  <rowBreaks count="1" manualBreakCount="1">
    <brk id="20" max="16383" man="1"/>
  </rowBrea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75E9-2B13-3A40-9FDC-5002023F4CE5}">
  <dimension ref="B1:J28"/>
  <sheetViews>
    <sheetView zoomScaleNormal="100" workbookViewId="0">
      <selection activeCell="B1" sqref="B1"/>
    </sheetView>
  </sheetViews>
  <sheetFormatPr defaultColWidth="11" defaultRowHeight="15.75"/>
  <cols>
    <col min="1" max="1" width="3" customWidth="1"/>
    <col min="2" max="2" width="43.5" customWidth="1"/>
    <col min="3" max="6" width="14.875" customWidth="1"/>
    <col min="7" max="7" width="5.125" customWidth="1"/>
    <col min="10" max="10" width="6.375" customWidth="1"/>
  </cols>
  <sheetData>
    <row r="1" spans="2:10">
      <c r="I1" s="14" t="s">
        <v>64</v>
      </c>
      <c r="J1">
        <f>1.26</f>
        <v>1.26</v>
      </c>
    </row>
    <row r="2" spans="2:10" ht="18.75">
      <c r="B2" s="1" t="s">
        <v>65</v>
      </c>
      <c r="C2" s="1"/>
    </row>
    <row r="3" spans="2:10" ht="18.75">
      <c r="B3" s="1" t="s">
        <v>1</v>
      </c>
      <c r="C3" s="1"/>
    </row>
    <row r="4" spans="2:10" ht="18.75">
      <c r="B4" s="1" t="s">
        <v>62</v>
      </c>
      <c r="C4" s="1"/>
    </row>
    <row r="5" spans="2:10">
      <c r="B5" s="183" t="s">
        <v>66</v>
      </c>
      <c r="C5" s="241" t="s">
        <v>67</v>
      </c>
      <c r="D5" s="241"/>
      <c r="E5" s="241"/>
      <c r="F5" s="241"/>
    </row>
    <row r="6" spans="2:10">
      <c r="B6" s="183"/>
      <c r="C6" s="241"/>
      <c r="D6" s="241"/>
      <c r="E6" s="241"/>
      <c r="F6" s="241"/>
    </row>
    <row r="8" spans="2:10" ht="30.95" customHeight="1" thickBot="1">
      <c r="B8" s="186" t="s">
        <v>68</v>
      </c>
      <c r="C8" s="239" t="s">
        <v>69</v>
      </c>
      <c r="D8" s="239"/>
      <c r="E8" s="240" t="s">
        <v>70</v>
      </c>
      <c r="F8" s="240"/>
    </row>
    <row r="9" spans="2:10" ht="16.5" thickTop="1">
      <c r="B9" s="187" t="s">
        <v>71</v>
      </c>
      <c r="D9" s="188">
        <v>0.1744</v>
      </c>
      <c r="E9" s="4"/>
      <c r="F9" s="66">
        <f>D9*dollars_2000_to_2010</f>
        <v>0.21974399999999999</v>
      </c>
    </row>
    <row r="10" spans="2:10">
      <c r="B10" s="187" t="s">
        <v>72</v>
      </c>
      <c r="C10" s="189"/>
      <c r="D10" s="189"/>
      <c r="E10" s="64"/>
      <c r="F10" s="64"/>
    </row>
    <row r="11" spans="2:10">
      <c r="B11" s="190" t="s">
        <v>73</v>
      </c>
      <c r="C11" s="187"/>
      <c r="D11" s="191">
        <v>1.52</v>
      </c>
      <c r="E11" s="4"/>
      <c r="F11" s="70">
        <f>D11*dollars_2000_to_2010</f>
        <v>1.9152</v>
      </c>
    </row>
    <row r="12" spans="2:10">
      <c r="B12" s="190" t="s">
        <v>74</v>
      </c>
      <c r="C12" s="187"/>
      <c r="D12" s="191">
        <v>1.35</v>
      </c>
      <c r="E12" s="4"/>
      <c r="F12" s="70">
        <f>D12*dollars_2000_to_2010</f>
        <v>1.7010000000000001</v>
      </c>
    </row>
    <row r="13" spans="2:10">
      <c r="B13" s="190" t="s">
        <v>75</v>
      </c>
      <c r="C13" s="187"/>
      <c r="D13" s="191">
        <v>1.35</v>
      </c>
      <c r="E13" s="4"/>
      <c r="F13" s="70">
        <f>D13*dollars_2000_to_2010</f>
        <v>1.7010000000000001</v>
      </c>
    </row>
    <row r="14" spans="2:10">
      <c r="B14" s="190" t="s">
        <v>76</v>
      </c>
      <c r="C14" s="192"/>
      <c r="D14" s="193">
        <v>1.35</v>
      </c>
      <c r="E14" s="27"/>
      <c r="F14" s="71">
        <f>D14*dollars_2000_to_2010</f>
        <v>1.7010000000000001</v>
      </c>
    </row>
    <row r="15" spans="2:10">
      <c r="B15" s="187" t="s">
        <v>77</v>
      </c>
      <c r="C15" s="194" t="s">
        <v>78</v>
      </c>
      <c r="D15" s="194" t="s">
        <v>79</v>
      </c>
      <c r="E15" s="65" t="s">
        <v>78</v>
      </c>
      <c r="F15" s="65" t="s">
        <v>79</v>
      </c>
    </row>
    <row r="16" spans="2:10">
      <c r="B16" s="190" t="s">
        <v>80</v>
      </c>
      <c r="C16" s="195">
        <v>4.83</v>
      </c>
      <c r="D16" s="191">
        <v>2.15</v>
      </c>
      <c r="E16" s="70">
        <f t="shared" ref="E16:F23" si="0">C16*dollars_2000_to_2010</f>
        <v>6.0857999999999999</v>
      </c>
      <c r="F16" s="70">
        <f t="shared" si="0"/>
        <v>2.7090000000000001</v>
      </c>
    </row>
    <row r="17" spans="2:6">
      <c r="B17" s="190" t="s">
        <v>81</v>
      </c>
      <c r="C17" s="195">
        <v>4.29</v>
      </c>
      <c r="D17" s="191">
        <v>2.15</v>
      </c>
      <c r="E17" s="70">
        <f t="shared" si="0"/>
        <v>5.4054000000000002</v>
      </c>
      <c r="F17" s="70">
        <f t="shared" si="0"/>
        <v>2.7090000000000001</v>
      </c>
    </row>
    <row r="18" spans="2:6">
      <c r="B18" s="190" t="s">
        <v>82</v>
      </c>
      <c r="C18" s="195">
        <v>4.29</v>
      </c>
      <c r="D18" s="191">
        <v>2.15</v>
      </c>
      <c r="E18" s="70">
        <f t="shared" si="0"/>
        <v>5.4054000000000002</v>
      </c>
      <c r="F18" s="70">
        <f t="shared" si="0"/>
        <v>2.7090000000000001</v>
      </c>
    </row>
    <row r="19" spans="2:6">
      <c r="B19" s="190" t="s">
        <v>83</v>
      </c>
      <c r="C19" s="195">
        <v>4.29</v>
      </c>
      <c r="D19" s="191">
        <v>2.15</v>
      </c>
      <c r="E19" s="70">
        <f t="shared" si="0"/>
        <v>5.4054000000000002</v>
      </c>
      <c r="F19" s="70">
        <f t="shared" si="0"/>
        <v>2.7090000000000001</v>
      </c>
    </row>
    <row r="20" spans="2:6">
      <c r="B20" s="190" t="s">
        <v>84</v>
      </c>
      <c r="C20" s="195">
        <v>4.29</v>
      </c>
      <c r="D20" s="191">
        <v>2.15</v>
      </c>
      <c r="E20" s="70">
        <f t="shared" si="0"/>
        <v>5.4054000000000002</v>
      </c>
      <c r="F20" s="70">
        <f t="shared" si="0"/>
        <v>2.7090000000000001</v>
      </c>
    </row>
    <row r="21" spans="2:6">
      <c r="B21" s="190" t="s">
        <v>85</v>
      </c>
      <c r="C21" s="195">
        <v>4.29</v>
      </c>
      <c r="D21" s="191">
        <v>2.15</v>
      </c>
      <c r="E21" s="70">
        <f t="shared" si="0"/>
        <v>5.4054000000000002</v>
      </c>
      <c r="F21" s="70">
        <f t="shared" si="0"/>
        <v>2.7090000000000001</v>
      </c>
    </row>
    <row r="22" spans="2:6">
      <c r="B22" s="190" t="s">
        <v>86</v>
      </c>
      <c r="C22" s="195">
        <v>4.29</v>
      </c>
      <c r="D22" s="191">
        <v>2.15</v>
      </c>
      <c r="E22" s="70">
        <f t="shared" si="0"/>
        <v>5.4054000000000002</v>
      </c>
      <c r="F22" s="70">
        <f t="shared" si="0"/>
        <v>2.7090000000000001</v>
      </c>
    </row>
    <row r="23" spans="2:6">
      <c r="B23" s="190" t="s">
        <v>87</v>
      </c>
      <c r="C23" s="195">
        <v>4.7</v>
      </c>
      <c r="D23" s="191">
        <v>3.62</v>
      </c>
      <c r="E23" s="70">
        <f t="shared" si="0"/>
        <v>5.9220000000000006</v>
      </c>
      <c r="F23" s="70">
        <f t="shared" si="0"/>
        <v>4.5612000000000004</v>
      </c>
    </row>
    <row r="24" spans="2:6">
      <c r="B24" s="196" t="s">
        <v>88</v>
      </c>
      <c r="C24" s="68"/>
      <c r="D24" s="69"/>
      <c r="E24" s="64"/>
      <c r="F24" s="64"/>
    </row>
    <row r="25" spans="2:6">
      <c r="B25" s="190" t="s">
        <v>89</v>
      </c>
      <c r="C25" s="197">
        <v>0.03</v>
      </c>
      <c r="D25" s="197">
        <v>0</v>
      </c>
      <c r="E25" s="66">
        <f t="shared" ref="E25:F28" si="1">C25*dollars_2000_to_2010</f>
        <v>3.78E-2</v>
      </c>
      <c r="F25" s="66">
        <f t="shared" si="1"/>
        <v>0</v>
      </c>
    </row>
    <row r="26" spans="2:6">
      <c r="B26" s="190" t="s">
        <v>90</v>
      </c>
      <c r="C26" s="198">
        <v>0.91</v>
      </c>
      <c r="D26" s="198">
        <v>0.41</v>
      </c>
      <c r="E26" s="67">
        <f t="shared" si="1"/>
        <v>1.1466000000000001</v>
      </c>
      <c r="F26" s="67">
        <f t="shared" si="1"/>
        <v>0.51659999999999995</v>
      </c>
    </row>
    <row r="27" spans="2:6">
      <c r="B27" s="196" t="s">
        <v>91</v>
      </c>
      <c r="C27" s="197">
        <v>9.2999999999999999E-2</v>
      </c>
      <c r="D27" s="197">
        <v>3.1E-2</v>
      </c>
      <c r="E27" s="66">
        <f t="shared" si="1"/>
        <v>0.11718000000000001</v>
      </c>
      <c r="F27" s="66">
        <f t="shared" si="1"/>
        <v>3.9059999999999997E-2</v>
      </c>
    </row>
    <row r="28" spans="2:6">
      <c r="B28" s="199" t="s">
        <v>92</v>
      </c>
      <c r="C28" s="198">
        <v>0.622</v>
      </c>
      <c r="D28" s="198">
        <f>C28*0.5</f>
        <v>0.311</v>
      </c>
      <c r="E28" s="67">
        <f t="shared" si="1"/>
        <v>0.78371999999999997</v>
      </c>
      <c r="F28" s="67">
        <f t="shared" si="1"/>
        <v>0.39185999999999999</v>
      </c>
    </row>
  </sheetData>
  <mergeCells count="3">
    <mergeCell ref="C8:D8"/>
    <mergeCell ref="E8:F8"/>
    <mergeCell ref="C5:F6"/>
  </mergeCells>
  <hyperlinks>
    <hyperlink ref="C5" r:id="rId1" xr:uid="{5D0F2ACA-CDCF-5744-B9CB-24D7713B4C92}"/>
  </hyperlinks>
  <pageMargins left="0.7" right="0.7" top="0.75" bottom="0.75" header="0.3" footer="0.3"/>
  <pageSetup paperSize="3" orientation="landscape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EF54-070A-9240-A3FF-5BCF96145758}">
  <dimension ref="B2:I191"/>
  <sheetViews>
    <sheetView topLeftCell="A11" zoomScale="70" zoomScaleNormal="70" workbookViewId="0">
      <selection activeCell="D154" sqref="D154:I154"/>
    </sheetView>
  </sheetViews>
  <sheetFormatPr defaultColWidth="11" defaultRowHeight="15.75"/>
  <cols>
    <col min="1" max="1" width="3.125" customWidth="1"/>
    <col min="2" max="2" width="3.125" hidden="1" customWidth="1"/>
    <col min="3" max="3" width="30.375" customWidth="1"/>
    <col min="4" max="9" width="12.125" customWidth="1"/>
  </cols>
  <sheetData>
    <row r="2" spans="2:9" ht="18.75">
      <c r="C2" s="1" t="s">
        <v>93</v>
      </c>
    </row>
    <row r="3" spans="2:9" ht="18.75">
      <c r="C3" s="1" t="s">
        <v>1</v>
      </c>
    </row>
    <row r="4" spans="2:9" ht="18.75">
      <c r="C4" s="1" t="s">
        <v>62</v>
      </c>
    </row>
    <row r="5" spans="2:9" ht="18.75">
      <c r="C5" s="53"/>
    </row>
    <row r="6" spans="2:9" ht="18.75">
      <c r="C6" s="53"/>
    </row>
    <row r="7" spans="2:9" s="52" customFormat="1" ht="32.25" thickBot="1">
      <c r="C7" s="58" t="s">
        <v>5</v>
      </c>
      <c r="D7" s="59" t="s">
        <v>94</v>
      </c>
      <c r="E7" s="59" t="s">
        <v>95</v>
      </c>
      <c r="F7" s="59" t="s">
        <v>96</v>
      </c>
      <c r="G7" s="59" t="s">
        <v>97</v>
      </c>
      <c r="H7" s="59" t="s">
        <v>98</v>
      </c>
      <c r="I7" s="73" t="s">
        <v>99</v>
      </c>
    </row>
    <row r="8" spans="2:9" ht="16.5" thickTop="1">
      <c r="B8" s="61">
        <v>1</v>
      </c>
      <c r="C8" t="s">
        <v>17</v>
      </c>
      <c r="D8" s="54">
        <f>D86</f>
        <v>203426</v>
      </c>
      <c r="E8" s="54">
        <f>E86</f>
        <v>264524</v>
      </c>
      <c r="F8" s="54">
        <f>F86</f>
        <v>103068</v>
      </c>
      <c r="G8" s="54">
        <f>G86</f>
        <v>28020</v>
      </c>
      <c r="H8" s="54">
        <f>H86</f>
        <v>7818</v>
      </c>
      <c r="I8" s="74">
        <f t="shared" ref="I8:I17" si="0">SUM(D8:H8)</f>
        <v>606856</v>
      </c>
    </row>
    <row r="9" spans="2:9">
      <c r="B9" s="61">
        <v>2</v>
      </c>
      <c r="C9" t="s">
        <v>18</v>
      </c>
      <c r="D9" s="54">
        <f>SUM(D87:D89)</f>
        <v>32844</v>
      </c>
      <c r="E9" s="54">
        <f>SUM(E87:E89)</f>
        <v>135748</v>
      </c>
      <c r="F9" s="54">
        <f>SUM(F87:F89)</f>
        <v>146502</v>
      </c>
      <c r="G9" s="54">
        <f>SUM(G87:G89)</f>
        <v>59168</v>
      </c>
      <c r="H9" s="54">
        <f>SUM(H87:H89)</f>
        <v>27742</v>
      </c>
      <c r="I9" s="74">
        <f t="shared" si="0"/>
        <v>402004</v>
      </c>
    </row>
    <row r="10" spans="2:9">
      <c r="B10" s="61">
        <v>3</v>
      </c>
      <c r="C10" t="s">
        <v>19</v>
      </c>
      <c r="D10" s="54">
        <f>SUM(D90:D96)</f>
        <v>99870</v>
      </c>
      <c r="E10" s="54">
        <f>SUM(E90:E96)</f>
        <v>409794</v>
      </c>
      <c r="F10" s="54">
        <f>SUM(F90:F96)</f>
        <v>375292</v>
      </c>
      <c r="G10" s="54">
        <f>SUM(G90:G96)</f>
        <v>146776</v>
      </c>
      <c r="H10" s="54">
        <f>SUM(H90:H96)</f>
        <v>76806</v>
      </c>
      <c r="I10" s="74">
        <f t="shared" si="0"/>
        <v>1108538</v>
      </c>
    </row>
    <row r="11" spans="2:9">
      <c r="B11" s="61">
        <v>4</v>
      </c>
      <c r="C11" t="s">
        <v>20</v>
      </c>
      <c r="D11" s="54">
        <f>SUM(D97:D101)</f>
        <v>149614</v>
      </c>
      <c r="E11" s="54">
        <f>SUM(E97:E101)</f>
        <v>286458</v>
      </c>
      <c r="F11" s="54">
        <f>SUM(F97:F101)</f>
        <v>280622</v>
      </c>
      <c r="G11" s="54">
        <f>SUM(G97:G101)</f>
        <v>117656</v>
      </c>
      <c r="H11" s="54">
        <f>SUM(H97:H101)</f>
        <v>53276</v>
      </c>
      <c r="I11" s="74">
        <f t="shared" si="0"/>
        <v>887626</v>
      </c>
    </row>
    <row r="12" spans="2:9">
      <c r="B12" s="61">
        <v>5</v>
      </c>
      <c r="C12" t="s">
        <v>21</v>
      </c>
      <c r="D12" s="54">
        <f>SUM(D102:D106)</f>
        <v>28484</v>
      </c>
      <c r="E12" s="54">
        <f>SUM(E102:E106)</f>
        <v>164838</v>
      </c>
      <c r="F12" s="54">
        <f>SUM(F102:F106)</f>
        <v>221668</v>
      </c>
      <c r="G12" s="54">
        <f>SUM(G102:G106)</f>
        <v>103344</v>
      </c>
      <c r="H12" s="54">
        <f>SUM(H102:H106)</f>
        <v>41374</v>
      </c>
      <c r="I12" s="74">
        <f t="shared" si="0"/>
        <v>559708</v>
      </c>
    </row>
    <row r="13" spans="2:9">
      <c r="B13" s="61">
        <v>6</v>
      </c>
      <c r="C13" t="s">
        <v>22</v>
      </c>
      <c r="D13" s="54">
        <f>SUM(D107:D108)</f>
        <v>7840</v>
      </c>
      <c r="E13" s="54">
        <f>SUM(E107:E108)</f>
        <v>44266</v>
      </c>
      <c r="F13" s="54">
        <f>SUM(F107:F108)</f>
        <v>68948</v>
      </c>
      <c r="G13" s="54">
        <f>SUM(G107:G108)</f>
        <v>38674</v>
      </c>
      <c r="H13" s="54">
        <f>SUM(H107:H108)</f>
        <v>20090</v>
      </c>
      <c r="I13" s="74">
        <f t="shared" si="0"/>
        <v>179818</v>
      </c>
    </row>
    <row r="14" spans="2:9">
      <c r="B14" s="61">
        <v>7</v>
      </c>
      <c r="C14" t="s">
        <v>23</v>
      </c>
      <c r="D14" s="54">
        <f>SUM(D109:D110)</f>
        <v>3128</v>
      </c>
      <c r="E14" s="54">
        <f>SUM(E109:E110)</f>
        <v>16298</v>
      </c>
      <c r="F14" s="54">
        <f>SUM(F109:F110)</f>
        <v>22856</v>
      </c>
      <c r="G14" s="54">
        <f>SUM(G109:G110)</f>
        <v>11280</v>
      </c>
      <c r="H14" s="54">
        <f>SUM(H109:H110)</f>
        <v>5666</v>
      </c>
      <c r="I14" s="74">
        <f t="shared" si="0"/>
        <v>59228</v>
      </c>
    </row>
    <row r="15" spans="2:9">
      <c r="B15" s="61">
        <v>8</v>
      </c>
      <c r="C15" t="s">
        <v>24</v>
      </c>
      <c r="D15" s="54">
        <f>SUM(D111:D113)</f>
        <v>15872</v>
      </c>
      <c r="E15" s="54">
        <f>SUM(E111:E113)</f>
        <v>62742</v>
      </c>
      <c r="F15" s="54">
        <f>SUM(F111:F113)</f>
        <v>88418</v>
      </c>
      <c r="G15" s="54">
        <f>SUM(G111:G113)</f>
        <v>42844</v>
      </c>
      <c r="H15" s="54">
        <f>SUM(H111:H113)</f>
        <v>19884</v>
      </c>
      <c r="I15" s="74">
        <f t="shared" si="0"/>
        <v>229760</v>
      </c>
    </row>
    <row r="16" spans="2:9">
      <c r="B16" s="61">
        <v>9</v>
      </c>
      <c r="C16" s="12" t="s">
        <v>25</v>
      </c>
      <c r="D16" s="55">
        <f>SUM(D114:D116)</f>
        <v>7780</v>
      </c>
      <c r="E16" s="55">
        <f>SUM(E114:E116)</f>
        <v>46312</v>
      </c>
      <c r="F16" s="55">
        <f>SUM(F114:F116)</f>
        <v>60890</v>
      </c>
      <c r="G16" s="55">
        <f>SUM(G114:G116)</f>
        <v>25136</v>
      </c>
      <c r="H16" s="55">
        <f>SUM(H114:H116)</f>
        <v>9426</v>
      </c>
      <c r="I16" s="76">
        <f t="shared" si="0"/>
        <v>149544</v>
      </c>
    </row>
    <row r="17" spans="3:9">
      <c r="C17" s="56" t="s">
        <v>26</v>
      </c>
      <c r="D17" s="57">
        <f>SUM(D8:D16)</f>
        <v>548858</v>
      </c>
      <c r="E17" s="57">
        <f>SUM(E8:E16)</f>
        <v>1430980</v>
      </c>
      <c r="F17" s="57">
        <f>SUM(F8:F16)</f>
        <v>1368264</v>
      </c>
      <c r="G17" s="57">
        <f>SUM(G8:G16)</f>
        <v>572898</v>
      </c>
      <c r="H17" s="57">
        <f>SUM(H8:H16)</f>
        <v>262082</v>
      </c>
      <c r="I17" s="78">
        <f t="shared" si="0"/>
        <v>4183082</v>
      </c>
    </row>
    <row r="20" spans="3:9">
      <c r="C20" s="125" t="s">
        <v>100</v>
      </c>
    </row>
    <row r="21" spans="3:9" ht="32.25" thickBot="1">
      <c r="C21" s="58" t="s">
        <v>5</v>
      </c>
      <c r="D21" s="59" t="s">
        <v>94</v>
      </c>
      <c r="E21" s="59" t="s">
        <v>95</v>
      </c>
      <c r="F21" s="59" t="s">
        <v>96</v>
      </c>
      <c r="G21" s="59" t="s">
        <v>97</v>
      </c>
      <c r="H21" s="59" t="s">
        <v>98</v>
      </c>
      <c r="I21" s="73" t="s">
        <v>99</v>
      </c>
    </row>
    <row r="22" spans="3:9" ht="16.5" thickTop="1">
      <c r="C22" t="s">
        <v>17</v>
      </c>
      <c r="D22" s="138">
        <f>D8/$I8</f>
        <v>0.33521296650276178</v>
      </c>
      <c r="E22" s="138">
        <f t="shared" ref="E22:I22" si="1">E8/$I8</f>
        <v>0.43589253463754168</v>
      </c>
      <c r="F22" s="138">
        <f t="shared" si="1"/>
        <v>0.16983930289887553</v>
      </c>
      <c r="G22" s="138">
        <f t="shared" si="1"/>
        <v>4.6172403337859394E-2</v>
      </c>
      <c r="H22" s="138">
        <f t="shared" si="1"/>
        <v>1.2882792622961626E-2</v>
      </c>
      <c r="I22" s="139">
        <f t="shared" si="1"/>
        <v>1</v>
      </c>
    </row>
    <row r="23" spans="3:9">
      <c r="C23" t="s">
        <v>18</v>
      </c>
      <c r="D23" s="138">
        <f t="shared" ref="D23:I23" si="2">D9/$I9</f>
        <v>8.1700679595227907E-2</v>
      </c>
      <c r="E23" s="138">
        <f t="shared" si="2"/>
        <v>0.33767823205739245</v>
      </c>
      <c r="F23" s="138">
        <f t="shared" si="2"/>
        <v>0.3644292096596054</v>
      </c>
      <c r="G23" s="138">
        <f t="shared" si="2"/>
        <v>0.14718261509835723</v>
      </c>
      <c r="H23" s="138">
        <f t="shared" si="2"/>
        <v>6.9009263589417016E-2</v>
      </c>
      <c r="I23" s="139">
        <f t="shared" si="2"/>
        <v>1</v>
      </c>
    </row>
    <row r="24" spans="3:9">
      <c r="C24" t="s">
        <v>19</v>
      </c>
      <c r="D24" s="138">
        <f t="shared" ref="D24:I24" si="3">D10/$I10</f>
        <v>9.0091634206495408E-2</v>
      </c>
      <c r="E24" s="138">
        <f t="shared" si="3"/>
        <v>0.36967068336854486</v>
      </c>
      <c r="F24" s="138">
        <f t="shared" si="3"/>
        <v>0.33854680669494414</v>
      </c>
      <c r="G24" s="138">
        <f t="shared" si="3"/>
        <v>0.1324050235535453</v>
      </c>
      <c r="H24" s="138">
        <f t="shared" si="3"/>
        <v>6.9285852176470264E-2</v>
      </c>
      <c r="I24" s="139">
        <f t="shared" si="3"/>
        <v>1</v>
      </c>
    </row>
    <row r="25" spans="3:9">
      <c r="C25" t="s">
        <v>20</v>
      </c>
      <c r="D25" s="138">
        <f t="shared" ref="D25:I25" si="4">D11/$I11</f>
        <v>0.1685552248356853</v>
      </c>
      <c r="E25" s="138">
        <f t="shared" si="4"/>
        <v>0.32272375978170986</v>
      </c>
      <c r="F25" s="138">
        <f t="shared" si="4"/>
        <v>0.31614891857606697</v>
      </c>
      <c r="G25" s="138">
        <f t="shared" si="4"/>
        <v>0.13255132229114513</v>
      </c>
      <c r="H25" s="138">
        <f t="shared" si="4"/>
        <v>6.0020774515392741E-2</v>
      </c>
      <c r="I25" s="139">
        <f t="shared" si="4"/>
        <v>1</v>
      </c>
    </row>
    <row r="26" spans="3:9">
      <c r="C26" t="s">
        <v>21</v>
      </c>
      <c r="D26" s="138">
        <f t="shared" ref="D26:I26" si="5">D12/$I12</f>
        <v>5.0890821642713698E-2</v>
      </c>
      <c r="E26" s="138">
        <f t="shared" si="5"/>
        <v>0.29450713586370036</v>
      </c>
      <c r="F26" s="138">
        <f t="shared" si="5"/>
        <v>0.39604222201576539</v>
      </c>
      <c r="G26" s="138">
        <f t="shared" si="5"/>
        <v>0.18463913326234394</v>
      </c>
      <c r="H26" s="138">
        <f t="shared" si="5"/>
        <v>7.3920687215476635E-2</v>
      </c>
      <c r="I26" s="139">
        <f t="shared" si="5"/>
        <v>1</v>
      </c>
    </row>
    <row r="27" spans="3:9">
      <c r="C27" t="s">
        <v>22</v>
      </c>
      <c r="D27" s="138">
        <f t="shared" ref="D27:I27" si="6">D13/$I13</f>
        <v>4.3599639635631585E-2</v>
      </c>
      <c r="E27" s="138">
        <f t="shared" si="6"/>
        <v>0.24617112858556986</v>
      </c>
      <c r="F27" s="138">
        <f t="shared" si="6"/>
        <v>0.38343213693846001</v>
      </c>
      <c r="G27" s="138">
        <f t="shared" si="6"/>
        <v>0.21507301827403263</v>
      </c>
      <c r="H27" s="138">
        <f t="shared" si="6"/>
        <v>0.11172407656630594</v>
      </c>
      <c r="I27" s="139">
        <f t="shared" si="6"/>
        <v>1</v>
      </c>
    </row>
    <row r="28" spans="3:9">
      <c r="C28" t="s">
        <v>23</v>
      </c>
      <c r="D28" s="138">
        <f t="shared" ref="D28:I28" si="7">D14/$I14</f>
        <v>5.2812858783008038E-2</v>
      </c>
      <c r="E28" s="138">
        <f t="shared" si="7"/>
        <v>0.27517390423448368</v>
      </c>
      <c r="F28" s="138">
        <f t="shared" si="7"/>
        <v>0.38589856149118662</v>
      </c>
      <c r="G28" s="138">
        <f t="shared" si="7"/>
        <v>0.19045046261903154</v>
      </c>
      <c r="H28" s="138">
        <f t="shared" si="7"/>
        <v>9.5664212872290127E-2</v>
      </c>
      <c r="I28" s="139">
        <f t="shared" si="7"/>
        <v>1</v>
      </c>
    </row>
    <row r="29" spans="3:9">
      <c r="C29" t="s">
        <v>24</v>
      </c>
      <c r="D29" s="138">
        <f t="shared" ref="D29:I29" si="8">D15/$I15</f>
        <v>6.9080779944289697E-2</v>
      </c>
      <c r="E29" s="138">
        <f t="shared" si="8"/>
        <v>0.27307625348189413</v>
      </c>
      <c r="F29" s="138">
        <f t="shared" si="8"/>
        <v>0.38482764623955434</v>
      </c>
      <c r="G29" s="138">
        <f t="shared" si="8"/>
        <v>0.18647284122562674</v>
      </c>
      <c r="H29" s="138">
        <f t="shared" si="8"/>
        <v>8.6542479108635093E-2</v>
      </c>
      <c r="I29" s="139">
        <f t="shared" si="8"/>
        <v>1</v>
      </c>
    </row>
    <row r="30" spans="3:9">
      <c r="C30" s="12" t="s">
        <v>25</v>
      </c>
      <c r="D30" s="140">
        <f t="shared" ref="D30:I30" si="9">D16/$I16</f>
        <v>5.2024822125929494E-2</v>
      </c>
      <c r="E30" s="140">
        <f t="shared" si="9"/>
        <v>0.3096881185470497</v>
      </c>
      <c r="F30" s="140">
        <f t="shared" si="9"/>
        <v>0.40717113357941476</v>
      </c>
      <c r="G30" s="140">
        <f t="shared" si="9"/>
        <v>0.16808430963462259</v>
      </c>
      <c r="H30" s="140">
        <f t="shared" si="9"/>
        <v>6.3031616112983468E-2</v>
      </c>
      <c r="I30" s="141">
        <f t="shared" si="9"/>
        <v>1</v>
      </c>
    </row>
    <row r="31" spans="3:9">
      <c r="C31" s="56" t="s">
        <v>26</v>
      </c>
      <c r="D31" s="142">
        <f t="shared" ref="D31:I31" si="10">D17/$I17</f>
        <v>0.13120899853266085</v>
      </c>
      <c r="E31" s="142">
        <f t="shared" si="10"/>
        <v>0.34208748477796991</v>
      </c>
      <c r="F31" s="142">
        <f t="shared" si="10"/>
        <v>0.32709471150697023</v>
      </c>
      <c r="G31" s="142">
        <f t="shared" si="10"/>
        <v>0.13695595735393187</v>
      </c>
      <c r="H31" s="142">
        <f t="shared" si="10"/>
        <v>6.265284782846714E-2</v>
      </c>
      <c r="I31" s="143">
        <f t="shared" si="10"/>
        <v>1</v>
      </c>
    </row>
    <row r="34" spans="3:9">
      <c r="C34" s="125" t="s">
        <v>101</v>
      </c>
    </row>
    <row r="35" spans="3:9" ht="32.25" thickBot="1">
      <c r="C35" s="58" t="s">
        <v>5</v>
      </c>
      <c r="D35" s="59" t="s">
        <v>94</v>
      </c>
      <c r="E35" s="59" t="s">
        <v>95</v>
      </c>
      <c r="F35" s="59" t="s">
        <v>96</v>
      </c>
      <c r="G35" s="59" t="s">
        <v>97</v>
      </c>
      <c r="H35" s="59" t="s">
        <v>98</v>
      </c>
      <c r="I35" s="73" t="s">
        <v>99</v>
      </c>
    </row>
    <row r="36" spans="3:9" ht="16.5" thickTop="1">
      <c r="C36" t="s">
        <v>17</v>
      </c>
      <c r="D36" s="54">
        <v>169706.66666666669</v>
      </c>
      <c r="E36" s="54">
        <v>255126.66666666669</v>
      </c>
      <c r="F36" s="54">
        <v>132833.33333333331</v>
      </c>
      <c r="G36" s="54">
        <v>42300</v>
      </c>
      <c r="H36" s="54">
        <v>8226.6666666666679</v>
      </c>
      <c r="I36" s="74">
        <v>608193.33333333337</v>
      </c>
    </row>
    <row r="37" spans="3:9">
      <c r="C37" t="s">
        <v>18</v>
      </c>
      <c r="D37" s="54">
        <v>27093.333333333339</v>
      </c>
      <c r="E37" s="54">
        <v>128433.3333333333</v>
      </c>
      <c r="F37" s="54">
        <v>155506.66666666669</v>
      </c>
      <c r="G37" s="54">
        <v>72013.333333333343</v>
      </c>
      <c r="H37" s="54">
        <v>25013.333333333339</v>
      </c>
      <c r="I37" s="74">
        <v>408060.00000000012</v>
      </c>
    </row>
    <row r="38" spans="3:9">
      <c r="C38" t="s">
        <v>19</v>
      </c>
      <c r="D38" s="54">
        <v>70906.666666666672</v>
      </c>
      <c r="E38" s="54">
        <v>410920</v>
      </c>
      <c r="F38" s="54">
        <v>394866.66666666669</v>
      </c>
      <c r="G38" s="54">
        <v>174786.66666666669</v>
      </c>
      <c r="H38" s="54">
        <v>66093.333333333343</v>
      </c>
      <c r="I38" s="74">
        <v>1117573.333333333</v>
      </c>
    </row>
    <row r="39" spans="3:9">
      <c r="C39" t="s">
        <v>20</v>
      </c>
      <c r="D39" s="54">
        <v>134926.66666666669</v>
      </c>
      <c r="E39" s="54">
        <v>278673.33333333337</v>
      </c>
      <c r="F39" s="54">
        <v>288133.33333333337</v>
      </c>
      <c r="G39" s="54">
        <v>137360</v>
      </c>
      <c r="H39" s="54">
        <v>48266.666666666672</v>
      </c>
      <c r="I39" s="74">
        <v>887360.00000000012</v>
      </c>
    </row>
    <row r="40" spans="3:9">
      <c r="C40" t="s">
        <v>21</v>
      </c>
      <c r="D40" s="54">
        <v>40126.666666666672</v>
      </c>
      <c r="E40" s="54">
        <v>162960</v>
      </c>
      <c r="F40" s="54">
        <v>210280</v>
      </c>
      <c r="G40" s="54">
        <v>110533.3333333333</v>
      </c>
      <c r="H40" s="54">
        <v>32546.666666666672</v>
      </c>
      <c r="I40" s="74">
        <v>556446.66666666663</v>
      </c>
    </row>
    <row r="41" spans="3:9">
      <c r="C41" t="s">
        <v>22</v>
      </c>
      <c r="D41" s="54">
        <v>7780</v>
      </c>
      <c r="E41" s="54">
        <v>49140</v>
      </c>
      <c r="F41" s="54">
        <v>74133.333333333343</v>
      </c>
      <c r="G41" s="54">
        <v>46713.333333333343</v>
      </c>
      <c r="H41" s="54">
        <v>15193.33333333333</v>
      </c>
      <c r="I41" s="74">
        <v>192960</v>
      </c>
    </row>
    <row r="42" spans="3:9">
      <c r="C42" t="s">
        <v>23</v>
      </c>
      <c r="D42" s="54">
        <v>3053.333333333333</v>
      </c>
      <c r="E42" s="54">
        <v>16233.33333333333</v>
      </c>
      <c r="F42" s="54">
        <v>23326.666666666672</v>
      </c>
      <c r="G42" s="54">
        <v>13026.66666666667</v>
      </c>
      <c r="H42" s="54">
        <v>4633.3333333333339</v>
      </c>
      <c r="I42" s="74">
        <v>60273.333333333343</v>
      </c>
    </row>
    <row r="43" spans="3:9">
      <c r="C43" t="s">
        <v>24</v>
      </c>
      <c r="D43" s="54">
        <v>11586.66666666667</v>
      </c>
      <c r="E43" s="54">
        <v>62333.333333333343</v>
      </c>
      <c r="F43" s="54">
        <v>93346.666666666672</v>
      </c>
      <c r="G43" s="54">
        <v>50520</v>
      </c>
      <c r="H43" s="54">
        <v>15666.66666666667</v>
      </c>
      <c r="I43" s="74">
        <v>233453.33333333331</v>
      </c>
    </row>
    <row r="44" spans="3:9">
      <c r="C44" s="12" t="s">
        <v>25</v>
      </c>
      <c r="D44" s="55">
        <v>7166.666666666667</v>
      </c>
      <c r="E44" s="55">
        <v>43366.666666666672</v>
      </c>
      <c r="F44" s="55">
        <v>64673.333333333343</v>
      </c>
      <c r="G44" s="55">
        <v>28620</v>
      </c>
      <c r="H44" s="55">
        <v>7153.3333333333339</v>
      </c>
      <c r="I44" s="76">
        <v>150980</v>
      </c>
    </row>
    <row r="45" spans="3:9">
      <c r="C45" s="56" t="s">
        <v>26</v>
      </c>
      <c r="D45" s="57">
        <f>SUM(D36:D44)</f>
        <v>472346.66666666674</v>
      </c>
      <c r="E45" s="57">
        <f>SUM(E36:E44)</f>
        <v>1407186.6666666667</v>
      </c>
      <c r="F45" s="57">
        <f>SUM(F36:F44)</f>
        <v>1437100</v>
      </c>
      <c r="G45" s="57">
        <f>SUM(G36:G44)</f>
        <v>675873.33333333326</v>
      </c>
      <c r="H45" s="57">
        <f>SUM(H36:H44)</f>
        <v>222793.33333333337</v>
      </c>
      <c r="I45" s="78">
        <f t="shared" ref="I45" si="11">SUM(D45:H45)</f>
        <v>4215300</v>
      </c>
    </row>
    <row r="46" spans="3:9">
      <c r="C46" t="s">
        <v>102</v>
      </c>
      <c r="D46" s="137">
        <v>17726.666666666672</v>
      </c>
      <c r="E46" s="137">
        <v>71426.666666666672</v>
      </c>
      <c r="F46" s="137">
        <v>129073.3333333333</v>
      </c>
      <c r="G46" s="137">
        <v>65046.666666666672</v>
      </c>
      <c r="H46" s="137">
        <v>24533.333333333339</v>
      </c>
      <c r="I46" s="137">
        <v>307806.66666666669</v>
      </c>
    </row>
    <row r="47" spans="3:9">
      <c r="C47" s="56" t="s">
        <v>103</v>
      </c>
      <c r="D47" s="57">
        <f>SUM(D45:D46)</f>
        <v>490073.33333333343</v>
      </c>
      <c r="E47" s="57">
        <f t="shared" ref="E47:I47" si="12">SUM(E45:E46)</f>
        <v>1478613.3333333335</v>
      </c>
      <c r="F47" s="57">
        <f t="shared" si="12"/>
        <v>1566173.3333333333</v>
      </c>
      <c r="G47" s="57">
        <f t="shared" si="12"/>
        <v>740919.99999999988</v>
      </c>
      <c r="H47" s="57">
        <f t="shared" si="12"/>
        <v>247326.66666666672</v>
      </c>
      <c r="I47" s="57">
        <f t="shared" si="12"/>
        <v>4523106.666666667</v>
      </c>
    </row>
    <row r="48" spans="3:9">
      <c r="D48" s="54"/>
      <c r="E48" s="54"/>
      <c r="F48" s="54"/>
      <c r="G48" s="54"/>
      <c r="H48" s="54"/>
      <c r="I48" s="54"/>
    </row>
    <row r="49" spans="3:9">
      <c r="D49" s="54"/>
      <c r="E49" s="54"/>
      <c r="F49" s="54"/>
      <c r="G49" s="54"/>
      <c r="H49" s="54"/>
      <c r="I49" s="54"/>
    </row>
    <row r="50" spans="3:9">
      <c r="C50" s="125" t="s">
        <v>104</v>
      </c>
    </row>
    <row r="51" spans="3:9" ht="32.25" thickBot="1">
      <c r="C51" s="58" t="s">
        <v>5</v>
      </c>
      <c r="D51" s="59" t="s">
        <v>94</v>
      </c>
      <c r="E51" s="59" t="s">
        <v>95</v>
      </c>
      <c r="F51" s="59" t="s">
        <v>96</v>
      </c>
      <c r="G51" s="59" t="s">
        <v>97</v>
      </c>
      <c r="H51" s="59" t="s">
        <v>98</v>
      </c>
      <c r="I51" s="73" t="s">
        <v>99</v>
      </c>
    </row>
    <row r="52" spans="3:9" ht="16.5" thickTop="1">
      <c r="C52" t="s">
        <v>17</v>
      </c>
      <c r="D52" s="138">
        <f>D36/$I36</f>
        <v>0.27903407907573252</v>
      </c>
      <c r="E52" s="138">
        <f t="shared" ref="E52:I52" si="13">E36/$I36</f>
        <v>0.41948283988643964</v>
      </c>
      <c r="F52" s="138">
        <f t="shared" si="13"/>
        <v>0.21840642778063987</v>
      </c>
      <c r="G52" s="138">
        <f t="shared" si="13"/>
        <v>6.9550252660886339E-2</v>
      </c>
      <c r="H52" s="138">
        <f t="shared" si="13"/>
        <v>1.3526400596301615E-2</v>
      </c>
      <c r="I52" s="139">
        <f t="shared" si="13"/>
        <v>1</v>
      </c>
    </row>
    <row r="53" spans="3:9">
      <c r="C53" t="s">
        <v>18</v>
      </c>
      <c r="D53" s="138">
        <f t="shared" ref="D53:I53" si="14">D37/$I37</f>
        <v>6.6395464719240627E-2</v>
      </c>
      <c r="E53" s="138">
        <f t="shared" si="14"/>
        <v>0.31474129621460878</v>
      </c>
      <c r="F53" s="138">
        <f t="shared" si="14"/>
        <v>0.3810877485337123</v>
      </c>
      <c r="G53" s="138">
        <f t="shared" si="14"/>
        <v>0.17647731542746978</v>
      </c>
      <c r="H53" s="138">
        <f t="shared" si="14"/>
        <v>6.1298175104968218E-2</v>
      </c>
      <c r="I53" s="139">
        <f t="shared" si="14"/>
        <v>1</v>
      </c>
    </row>
    <row r="54" spans="3:9">
      <c r="C54" t="s">
        <v>19</v>
      </c>
      <c r="D54" s="138">
        <f t="shared" ref="D54:I54" si="15">D38/$I38</f>
        <v>6.3446992292824952E-2</v>
      </c>
      <c r="E54" s="138">
        <f t="shared" si="15"/>
        <v>0.36768951776468073</v>
      </c>
      <c r="F54" s="138">
        <f t="shared" si="15"/>
        <v>0.35332506144264969</v>
      </c>
      <c r="G54" s="138">
        <f t="shared" si="15"/>
        <v>0.15639838698131672</v>
      </c>
      <c r="H54" s="138">
        <f t="shared" si="15"/>
        <v>5.9140041518528266E-2</v>
      </c>
      <c r="I54" s="139">
        <f t="shared" si="15"/>
        <v>1</v>
      </c>
    </row>
    <row r="55" spans="3:9">
      <c r="C55" t="s">
        <v>20</v>
      </c>
      <c r="D55" s="138">
        <f t="shared" ref="D55:I55" si="16">D39/$I39</f>
        <v>0.15205403293665104</v>
      </c>
      <c r="E55" s="138">
        <f t="shared" si="16"/>
        <v>0.31404766197860318</v>
      </c>
      <c r="F55" s="138">
        <f t="shared" si="16"/>
        <v>0.3247084986176223</v>
      </c>
      <c r="G55" s="138">
        <f t="shared" si="16"/>
        <v>0.15479624954922463</v>
      </c>
      <c r="H55" s="138">
        <f t="shared" si="16"/>
        <v>5.4393556917898787E-2</v>
      </c>
      <c r="I55" s="139">
        <f t="shared" si="16"/>
        <v>1</v>
      </c>
    </row>
    <row r="56" spans="3:9">
      <c r="C56" t="s">
        <v>21</v>
      </c>
      <c r="D56" s="138">
        <f t="shared" ref="D56:I56" si="17">D40/$I40</f>
        <v>7.2112331819761122E-2</v>
      </c>
      <c r="E56" s="138">
        <f t="shared" si="17"/>
        <v>0.29285825535840515</v>
      </c>
      <c r="F56" s="138">
        <f t="shared" si="17"/>
        <v>0.37789785184563962</v>
      </c>
      <c r="G56" s="138">
        <f t="shared" si="17"/>
        <v>0.19864137922771868</v>
      </c>
      <c r="H56" s="138">
        <f t="shared" si="17"/>
        <v>5.8490181748475457E-2</v>
      </c>
      <c r="I56" s="139">
        <f t="shared" si="17"/>
        <v>1</v>
      </c>
    </row>
    <row r="57" spans="3:9">
      <c r="C57" t="s">
        <v>22</v>
      </c>
      <c r="D57" s="138">
        <f t="shared" ref="D57:I57" si="18">D41/$I41</f>
        <v>4.0319237147595353E-2</v>
      </c>
      <c r="E57" s="138">
        <f t="shared" si="18"/>
        <v>0.25466417910447764</v>
      </c>
      <c r="F57" s="138">
        <f t="shared" si="18"/>
        <v>0.38419016030956332</v>
      </c>
      <c r="G57" s="138">
        <f t="shared" si="18"/>
        <v>0.24208817025981211</v>
      </c>
      <c r="H57" s="138">
        <f t="shared" si="18"/>
        <v>7.8738253178551668E-2</v>
      </c>
      <c r="I57" s="139">
        <f t="shared" si="18"/>
        <v>1</v>
      </c>
    </row>
    <row r="58" spans="3:9">
      <c r="C58" t="s">
        <v>23</v>
      </c>
      <c r="D58" s="138">
        <f t="shared" ref="D58:I58" si="19">D42/$I42</f>
        <v>5.0658113040592839E-2</v>
      </c>
      <c r="E58" s="138">
        <f t="shared" si="19"/>
        <v>0.2693286140913615</v>
      </c>
      <c r="F58" s="138">
        <f t="shared" si="19"/>
        <v>0.38701471076208388</v>
      </c>
      <c r="G58" s="138">
        <f t="shared" si="19"/>
        <v>0.21612653467536777</v>
      </c>
      <c r="H58" s="138">
        <f t="shared" si="19"/>
        <v>7.6872027430593959E-2</v>
      </c>
      <c r="I58" s="139">
        <f t="shared" si="19"/>
        <v>1</v>
      </c>
    </row>
    <row r="59" spans="3:9">
      <c r="C59" t="s">
        <v>24</v>
      </c>
      <c r="D59" s="138">
        <f t="shared" ref="D59:I59" si="20">D43/$I43</f>
        <v>4.9631618025015721E-2</v>
      </c>
      <c r="E59" s="138">
        <f t="shared" si="20"/>
        <v>0.26700554000799598</v>
      </c>
      <c r="F59" s="138">
        <f t="shared" si="20"/>
        <v>0.39985150494031646</v>
      </c>
      <c r="G59" s="138">
        <f t="shared" si="20"/>
        <v>0.21640299274658747</v>
      </c>
      <c r="H59" s="138">
        <f t="shared" si="20"/>
        <v>6.7108344280084553E-2</v>
      </c>
      <c r="I59" s="139">
        <f t="shared" si="20"/>
        <v>1</v>
      </c>
    </row>
    <row r="60" spans="3:9">
      <c r="C60" s="12" t="s">
        <v>25</v>
      </c>
      <c r="D60" s="140">
        <f t="shared" ref="D60:I60" si="21">D44/$I44</f>
        <v>4.7467655760144833E-2</v>
      </c>
      <c r="E60" s="140">
        <f t="shared" si="21"/>
        <v>0.28723451229743457</v>
      </c>
      <c r="F60" s="140">
        <f t="shared" si="21"/>
        <v>0.42835695677131636</v>
      </c>
      <c r="G60" s="140">
        <f t="shared" si="21"/>
        <v>0.1895615313286528</v>
      </c>
      <c r="H60" s="140">
        <f t="shared" si="21"/>
        <v>4.7379343842451543E-2</v>
      </c>
      <c r="I60" s="141">
        <f t="shared" si="21"/>
        <v>1</v>
      </c>
    </row>
    <row r="61" spans="3:9">
      <c r="C61" s="56" t="s">
        <v>26</v>
      </c>
      <c r="D61" s="142">
        <f t="shared" ref="D61:I61" si="22">D45/$I45</f>
        <v>0.11205529064756167</v>
      </c>
      <c r="E61" s="142">
        <f t="shared" si="22"/>
        <v>0.33382835543535849</v>
      </c>
      <c r="F61" s="142">
        <f t="shared" si="22"/>
        <v>0.34092472659122719</v>
      </c>
      <c r="G61" s="142">
        <f t="shared" si="22"/>
        <v>0.16033813330802868</v>
      </c>
      <c r="H61" s="142">
        <f t="shared" si="22"/>
        <v>5.2853494017823965E-2</v>
      </c>
      <c r="I61" s="143">
        <f t="shared" si="22"/>
        <v>1</v>
      </c>
    </row>
    <row r="62" spans="3:9">
      <c r="C62" t="s">
        <v>102</v>
      </c>
      <c r="D62" s="144">
        <f t="shared" ref="D62:I62" si="23">D46/$I46</f>
        <v>5.7590262285850437E-2</v>
      </c>
      <c r="E62" s="144">
        <f t="shared" si="23"/>
        <v>0.23205042126009834</v>
      </c>
      <c r="F62" s="144">
        <f t="shared" si="23"/>
        <v>0.41933248142773588</v>
      </c>
      <c r="G62" s="144">
        <f t="shared" si="23"/>
        <v>0.21132312490524355</v>
      </c>
      <c r="H62" s="144">
        <f t="shared" si="23"/>
        <v>7.9703710121071678E-2</v>
      </c>
      <c r="I62" s="144">
        <f t="shared" si="23"/>
        <v>1</v>
      </c>
    </row>
    <row r="63" spans="3:9">
      <c r="C63" s="56" t="s">
        <v>103</v>
      </c>
      <c r="D63" s="142">
        <f t="shared" ref="D63:I63" si="24">D47/$I47</f>
        <v>0.1083488339872595</v>
      </c>
      <c r="E63" s="142">
        <f t="shared" si="24"/>
        <v>0.32690215869328754</v>
      </c>
      <c r="F63" s="142">
        <f t="shared" si="24"/>
        <v>0.34626053479466912</v>
      </c>
      <c r="G63" s="142">
        <f t="shared" si="24"/>
        <v>0.16380776634348659</v>
      </c>
      <c r="H63" s="142">
        <f t="shared" si="24"/>
        <v>5.468070618129723E-2</v>
      </c>
      <c r="I63" s="142">
        <f t="shared" si="24"/>
        <v>1</v>
      </c>
    </row>
    <row r="66" spans="3:9">
      <c r="C66" s="125" t="s">
        <v>105</v>
      </c>
    </row>
    <row r="67" spans="3:9" ht="32.25" thickBot="1">
      <c r="C67" s="58" t="s">
        <v>5</v>
      </c>
      <c r="D67" s="59" t="s">
        <v>94</v>
      </c>
      <c r="E67" s="59" t="s">
        <v>95</v>
      </c>
      <c r="F67" s="59" t="s">
        <v>96</v>
      </c>
      <c r="G67" s="59" t="s">
        <v>97</v>
      </c>
      <c r="H67" s="59" t="s">
        <v>98</v>
      </c>
      <c r="I67" s="73" t="s">
        <v>99</v>
      </c>
    </row>
    <row r="68" spans="3:9" ht="16.5" thickTop="1">
      <c r="C68" t="s">
        <v>17</v>
      </c>
      <c r="D68" s="138">
        <f t="shared" ref="D68:I77" si="25">(D36-D8)/D8</f>
        <v>-0.16575724505880918</v>
      </c>
      <c r="E68" s="138">
        <f t="shared" si="25"/>
        <v>-3.5525446966374746E-2</v>
      </c>
      <c r="F68" s="138">
        <f t="shared" si="25"/>
        <v>0.28879315920880694</v>
      </c>
      <c r="G68" s="138">
        <f t="shared" si="25"/>
        <v>0.50963597430406848</v>
      </c>
      <c r="H68" s="138">
        <f t="shared" si="25"/>
        <v>5.2272533469770767E-2</v>
      </c>
      <c r="I68" s="139">
        <f t="shared" si="25"/>
        <v>2.2037078538127202E-3</v>
      </c>
    </row>
    <row r="69" spans="3:9">
      <c r="C69" t="s">
        <v>18</v>
      </c>
      <c r="D69" s="138">
        <f t="shared" si="25"/>
        <v>-0.17509032598546648</v>
      </c>
      <c r="E69" s="138">
        <f t="shared" si="25"/>
        <v>-5.3884157900423585E-2</v>
      </c>
      <c r="F69" s="138">
        <f t="shared" si="25"/>
        <v>6.146446237366511E-2</v>
      </c>
      <c r="G69" s="138">
        <f t="shared" si="25"/>
        <v>0.21709933297277825</v>
      </c>
      <c r="H69" s="138">
        <f t="shared" si="25"/>
        <v>-9.835868598755175E-2</v>
      </c>
      <c r="I69" s="139">
        <f t="shared" si="25"/>
        <v>1.5064526721127442E-2</v>
      </c>
    </row>
    <row r="70" spans="3:9">
      <c r="C70" t="s">
        <v>19</v>
      </c>
      <c r="D70" s="138">
        <f t="shared" si="25"/>
        <v>-0.29001034678415266</v>
      </c>
      <c r="E70" s="138">
        <f t="shared" si="25"/>
        <v>2.7477220261887679E-3</v>
      </c>
      <c r="F70" s="138">
        <f t="shared" si="25"/>
        <v>5.2158497028091957E-2</v>
      </c>
      <c r="G70" s="138">
        <f t="shared" si="25"/>
        <v>0.1908395559673699</v>
      </c>
      <c r="H70" s="138">
        <f t="shared" si="25"/>
        <v>-0.13947695058545762</v>
      </c>
      <c r="I70" s="139">
        <f t="shared" si="25"/>
        <v>8.1506753339380539E-3</v>
      </c>
    </row>
    <row r="71" spans="3:9">
      <c r="C71" t="s">
        <v>20</v>
      </c>
      <c r="D71" s="138">
        <f t="shared" si="25"/>
        <v>-9.8168174992536217E-2</v>
      </c>
      <c r="E71" s="138">
        <f t="shared" si="25"/>
        <v>-2.7175595258874346E-2</v>
      </c>
      <c r="F71" s="138">
        <f t="shared" si="25"/>
        <v>2.6766730097189002E-2</v>
      </c>
      <c r="G71" s="138">
        <f t="shared" si="25"/>
        <v>0.16747127218331406</v>
      </c>
      <c r="H71" s="138">
        <f t="shared" si="25"/>
        <v>-9.4026078033886337E-2</v>
      </c>
      <c r="I71" s="139">
        <f t="shared" si="25"/>
        <v>-2.9967576434205802E-4</v>
      </c>
    </row>
    <row r="72" spans="3:9">
      <c r="C72" t="s">
        <v>21</v>
      </c>
      <c r="D72" s="138">
        <f t="shared" si="25"/>
        <v>0.40874409024949698</v>
      </c>
      <c r="E72" s="138">
        <f t="shared" si="25"/>
        <v>-1.1393004040330506E-2</v>
      </c>
      <c r="F72" s="138">
        <f t="shared" si="25"/>
        <v>-5.1374127072919863E-2</v>
      </c>
      <c r="G72" s="138">
        <f t="shared" si="25"/>
        <v>6.9567012437425482E-2</v>
      </c>
      <c r="H72" s="138">
        <f t="shared" si="25"/>
        <v>-0.21335460272957241</v>
      </c>
      <c r="I72" s="139">
        <f t="shared" si="25"/>
        <v>-5.8268478087384352E-3</v>
      </c>
    </row>
    <row r="73" spans="3:9">
      <c r="C73" t="s">
        <v>22</v>
      </c>
      <c r="D73" s="138">
        <f t="shared" si="25"/>
        <v>-7.6530612244897957E-3</v>
      </c>
      <c r="E73" s="138">
        <f t="shared" si="25"/>
        <v>0.1101070799259025</v>
      </c>
      <c r="F73" s="138">
        <f t="shared" si="25"/>
        <v>7.5206435768018554E-2</v>
      </c>
      <c r="G73" s="138">
        <f t="shared" si="25"/>
        <v>0.20787436865422101</v>
      </c>
      <c r="H73" s="138">
        <f t="shared" si="25"/>
        <v>-0.24373651899784318</v>
      </c>
      <c r="I73" s="139">
        <f t="shared" si="25"/>
        <v>7.3085008174932437E-2</v>
      </c>
    </row>
    <row r="74" spans="3:9">
      <c r="C74" t="s">
        <v>23</v>
      </c>
      <c r="D74" s="138">
        <f t="shared" si="25"/>
        <v>-2.3870417732310412E-2</v>
      </c>
      <c r="E74" s="138">
        <f t="shared" si="25"/>
        <v>-3.967767006176813E-3</v>
      </c>
      <c r="F74" s="138">
        <f t="shared" si="25"/>
        <v>2.0592696301481955E-2</v>
      </c>
      <c r="G74" s="138">
        <f t="shared" si="25"/>
        <v>0.15484633569739981</v>
      </c>
      <c r="H74" s="138">
        <f t="shared" si="25"/>
        <v>-0.18225673608659831</v>
      </c>
      <c r="I74" s="139">
        <f t="shared" si="25"/>
        <v>1.7649310011030983E-2</v>
      </c>
    </row>
    <row r="75" spans="3:9">
      <c r="C75" t="s">
        <v>24</v>
      </c>
      <c r="D75" s="138">
        <f t="shared" si="25"/>
        <v>-0.26999327956989227</v>
      </c>
      <c r="E75" s="138">
        <f t="shared" si="25"/>
        <v>-6.5134466014257911E-3</v>
      </c>
      <c r="F75" s="138">
        <f t="shared" si="25"/>
        <v>5.5742797469595234E-2</v>
      </c>
      <c r="G75" s="138">
        <f t="shared" si="25"/>
        <v>0.17916160956026514</v>
      </c>
      <c r="H75" s="138">
        <f t="shared" si="25"/>
        <v>-0.2120968282706362</v>
      </c>
      <c r="I75" s="139">
        <f t="shared" si="25"/>
        <v>1.6074744661095552E-2</v>
      </c>
    </row>
    <row r="76" spans="3:9">
      <c r="C76" s="12" t="s">
        <v>25</v>
      </c>
      <c r="D76" s="140">
        <f t="shared" si="25"/>
        <v>-7.8834618680377E-2</v>
      </c>
      <c r="E76" s="140">
        <f t="shared" si="25"/>
        <v>-6.3597627684689254E-2</v>
      </c>
      <c r="F76" s="140">
        <f t="shared" si="25"/>
        <v>6.2133902666009905E-2</v>
      </c>
      <c r="G76" s="140">
        <f t="shared" si="25"/>
        <v>0.13860598345003183</v>
      </c>
      <c r="H76" s="140">
        <f t="shared" si="25"/>
        <v>-0.24110616026593104</v>
      </c>
      <c r="I76" s="141">
        <f t="shared" si="25"/>
        <v>9.6025250093617932E-3</v>
      </c>
    </row>
    <row r="77" spans="3:9">
      <c r="C77" s="56" t="s">
        <v>26</v>
      </c>
      <c r="D77" s="142">
        <f t="shared" si="25"/>
        <v>-0.13940096224038503</v>
      </c>
      <c r="E77" s="142">
        <f t="shared" si="25"/>
        <v>-1.6627299706028914E-2</v>
      </c>
      <c r="F77" s="142">
        <f t="shared" si="25"/>
        <v>5.0309004695000381E-2</v>
      </c>
      <c r="G77" s="142">
        <f t="shared" si="25"/>
        <v>0.17974462004289291</v>
      </c>
      <c r="H77" s="142">
        <f t="shared" si="25"/>
        <v>-0.14990982466047506</v>
      </c>
      <c r="I77" s="143">
        <f t="shared" si="25"/>
        <v>7.7019766765270203E-3</v>
      </c>
    </row>
    <row r="80" spans="3:9" ht="18.75">
      <c r="C80" s="1" t="s">
        <v>106</v>
      </c>
    </row>
    <row r="81" spans="2:9" ht="18.75">
      <c r="C81" s="1" t="s">
        <v>1</v>
      </c>
    </row>
    <row r="82" spans="2:9" ht="18.75">
      <c r="B82" s="62" t="s">
        <v>29</v>
      </c>
      <c r="C82" s="1" t="s">
        <v>62</v>
      </c>
    </row>
    <row r="83" spans="2:9" ht="18.75">
      <c r="B83" s="61">
        <v>5</v>
      </c>
      <c r="C83" s="53"/>
    </row>
    <row r="84" spans="2:9">
      <c r="B84" s="61">
        <v>6</v>
      </c>
      <c r="C84" s="3"/>
    </row>
    <row r="85" spans="2:9" ht="32.25" thickBot="1">
      <c r="B85" s="61">
        <v>7</v>
      </c>
      <c r="C85" s="59" t="s">
        <v>28</v>
      </c>
      <c r="D85" s="59" t="s">
        <v>94</v>
      </c>
      <c r="E85" s="59" t="s">
        <v>95</v>
      </c>
      <c r="F85" s="59" t="s">
        <v>96</v>
      </c>
      <c r="G85" s="59" t="s">
        <v>97</v>
      </c>
      <c r="H85" s="59" t="s">
        <v>98</v>
      </c>
      <c r="I85" s="73" t="s">
        <v>99</v>
      </c>
    </row>
    <row r="86" spans="2:9" ht="16.5" thickTop="1">
      <c r="B86" s="61">
        <v>8</v>
      </c>
      <c r="C86" s="23" t="s">
        <v>30</v>
      </c>
      <c r="D86" s="55">
        <v>203426</v>
      </c>
      <c r="E86" s="55">
        <v>264524</v>
      </c>
      <c r="F86" s="55">
        <v>103068</v>
      </c>
      <c r="G86" s="55">
        <v>28020</v>
      </c>
      <c r="H86" s="55">
        <v>7818</v>
      </c>
      <c r="I86" s="76">
        <f t="shared" ref="I86:I117" si="26">SUM(D86:H86)</f>
        <v>606856</v>
      </c>
    </row>
    <row r="87" spans="2:9">
      <c r="B87" s="61">
        <v>9</v>
      </c>
      <c r="C87" s="13" t="s">
        <v>31</v>
      </c>
      <c r="D87" s="54">
        <v>15944</v>
      </c>
      <c r="E87" s="54">
        <v>55188</v>
      </c>
      <c r="F87" s="54">
        <v>58644</v>
      </c>
      <c r="G87" s="54">
        <v>25858</v>
      </c>
      <c r="H87" s="54">
        <v>13462</v>
      </c>
      <c r="I87" s="74">
        <f t="shared" si="26"/>
        <v>169096</v>
      </c>
    </row>
    <row r="88" spans="2:9">
      <c r="B88" s="61">
        <v>10</v>
      </c>
      <c r="C88" s="14" t="s">
        <v>32</v>
      </c>
      <c r="D88" s="54">
        <v>9780</v>
      </c>
      <c r="E88" s="54">
        <v>44056</v>
      </c>
      <c r="F88" s="54">
        <v>46032</v>
      </c>
      <c r="G88" s="54">
        <v>17106</v>
      </c>
      <c r="H88" s="54">
        <v>6724</v>
      </c>
      <c r="I88" s="74">
        <f t="shared" si="26"/>
        <v>123698</v>
      </c>
    </row>
    <row r="89" spans="2:9">
      <c r="B89" s="61">
        <v>11</v>
      </c>
      <c r="C89" s="15" t="s">
        <v>33</v>
      </c>
      <c r="D89" s="55">
        <v>7120</v>
      </c>
      <c r="E89" s="55">
        <v>36504</v>
      </c>
      <c r="F89" s="55">
        <v>41826</v>
      </c>
      <c r="G89" s="55">
        <v>16204</v>
      </c>
      <c r="H89" s="55">
        <v>7556</v>
      </c>
      <c r="I89" s="76">
        <f t="shared" si="26"/>
        <v>109210</v>
      </c>
    </row>
    <row r="90" spans="2:9">
      <c r="B90" s="61">
        <v>12</v>
      </c>
      <c r="C90" s="13" t="s">
        <v>34</v>
      </c>
      <c r="D90" s="54">
        <v>11840</v>
      </c>
      <c r="E90" s="54">
        <v>44910</v>
      </c>
      <c r="F90" s="54">
        <v>38260</v>
      </c>
      <c r="G90" s="54">
        <v>12800</v>
      </c>
      <c r="H90" s="54">
        <v>4852</v>
      </c>
      <c r="I90" s="74">
        <f t="shared" si="26"/>
        <v>112662</v>
      </c>
    </row>
    <row r="91" spans="2:9">
      <c r="B91" s="61">
        <v>13</v>
      </c>
      <c r="C91" s="14" t="s">
        <v>35</v>
      </c>
      <c r="D91" s="54">
        <v>34412</v>
      </c>
      <c r="E91" s="54">
        <v>156742</v>
      </c>
      <c r="F91" s="54">
        <v>92938</v>
      </c>
      <c r="G91" s="54">
        <v>25286</v>
      </c>
      <c r="H91" s="54">
        <v>12036</v>
      </c>
      <c r="I91" s="74">
        <f t="shared" si="26"/>
        <v>321414</v>
      </c>
    </row>
    <row r="92" spans="2:9">
      <c r="B92" s="61">
        <v>14</v>
      </c>
      <c r="C92" s="14" t="s">
        <v>36</v>
      </c>
      <c r="D92" s="54">
        <v>8246</v>
      </c>
      <c r="E92" s="54">
        <v>56708</v>
      </c>
      <c r="F92" s="54">
        <v>70042</v>
      </c>
      <c r="G92" s="54">
        <v>26504</v>
      </c>
      <c r="H92" s="54">
        <v>11248</v>
      </c>
      <c r="I92" s="74">
        <f t="shared" si="26"/>
        <v>172748</v>
      </c>
    </row>
    <row r="93" spans="2:9">
      <c r="B93" s="61">
        <v>15</v>
      </c>
      <c r="C93" s="14" t="s">
        <v>37</v>
      </c>
      <c r="D93" s="54">
        <v>30752</v>
      </c>
      <c r="E93" s="54">
        <v>71078</v>
      </c>
      <c r="F93" s="54">
        <v>51100</v>
      </c>
      <c r="G93" s="54">
        <v>18900</v>
      </c>
      <c r="H93" s="54">
        <v>10702</v>
      </c>
      <c r="I93" s="74">
        <f t="shared" si="26"/>
        <v>182532</v>
      </c>
    </row>
    <row r="94" spans="2:9">
      <c r="B94" s="61">
        <v>16</v>
      </c>
      <c r="C94" s="14" t="s">
        <v>38</v>
      </c>
      <c r="D94" s="54">
        <v>9994</v>
      </c>
      <c r="E94" s="54">
        <v>44822</v>
      </c>
      <c r="F94" s="54">
        <v>67428</v>
      </c>
      <c r="G94" s="54">
        <v>36508</v>
      </c>
      <c r="H94" s="54">
        <v>24224</v>
      </c>
      <c r="I94" s="74">
        <f t="shared" si="26"/>
        <v>182976</v>
      </c>
    </row>
    <row r="95" spans="2:9">
      <c r="B95" s="61">
        <v>17</v>
      </c>
      <c r="C95" s="14" t="s">
        <v>39</v>
      </c>
      <c r="D95" s="54">
        <v>3276</v>
      </c>
      <c r="E95" s="54">
        <v>24736</v>
      </c>
      <c r="F95" s="54">
        <v>38030</v>
      </c>
      <c r="G95" s="54">
        <v>17428</v>
      </c>
      <c r="H95" s="54">
        <v>8510</v>
      </c>
      <c r="I95" s="74">
        <f t="shared" si="26"/>
        <v>91980</v>
      </c>
    </row>
    <row r="96" spans="2:9">
      <c r="B96" s="61">
        <v>18</v>
      </c>
      <c r="C96" s="15" t="s">
        <v>40</v>
      </c>
      <c r="D96" s="55">
        <v>1350</v>
      </c>
      <c r="E96" s="55">
        <v>10798</v>
      </c>
      <c r="F96" s="55">
        <v>17494</v>
      </c>
      <c r="G96" s="55">
        <v>9350</v>
      </c>
      <c r="H96" s="55">
        <v>5234</v>
      </c>
      <c r="I96" s="76">
        <f t="shared" si="26"/>
        <v>44226</v>
      </c>
    </row>
    <row r="97" spans="2:9">
      <c r="B97" s="61">
        <v>19</v>
      </c>
      <c r="C97" s="14" t="s">
        <v>41</v>
      </c>
      <c r="D97" s="54">
        <v>4562</v>
      </c>
      <c r="E97" s="54">
        <v>40074</v>
      </c>
      <c r="F97" s="54">
        <v>56452</v>
      </c>
      <c r="G97" s="54">
        <v>22998</v>
      </c>
      <c r="H97" s="54">
        <v>8812</v>
      </c>
      <c r="I97" s="74">
        <f t="shared" si="26"/>
        <v>132898</v>
      </c>
    </row>
    <row r="98" spans="2:9">
      <c r="B98" s="61">
        <v>20</v>
      </c>
      <c r="C98" s="14" t="s">
        <v>42</v>
      </c>
      <c r="D98" s="54">
        <v>11856</v>
      </c>
      <c r="E98" s="54">
        <v>38480</v>
      </c>
      <c r="F98" s="54">
        <v>61504</v>
      </c>
      <c r="G98" s="54">
        <v>28994</v>
      </c>
      <c r="H98" s="54">
        <v>14474</v>
      </c>
      <c r="I98" s="74">
        <f t="shared" si="26"/>
        <v>155308</v>
      </c>
    </row>
    <row r="99" spans="2:9">
      <c r="B99" s="61">
        <v>21</v>
      </c>
      <c r="C99" s="14" t="s">
        <v>43</v>
      </c>
      <c r="D99" s="54">
        <v>16584</v>
      </c>
      <c r="E99" s="54">
        <v>46960</v>
      </c>
      <c r="F99" s="54">
        <v>57802</v>
      </c>
      <c r="G99" s="54">
        <v>29634</v>
      </c>
      <c r="H99" s="54">
        <v>14790</v>
      </c>
      <c r="I99" s="74">
        <f t="shared" si="26"/>
        <v>165770</v>
      </c>
    </row>
    <row r="100" spans="2:9">
      <c r="B100" s="61">
        <v>22</v>
      </c>
      <c r="C100" s="14" t="s">
        <v>44</v>
      </c>
      <c r="D100" s="54">
        <v>70538</v>
      </c>
      <c r="E100" s="54">
        <v>109444</v>
      </c>
      <c r="F100" s="54">
        <v>76756</v>
      </c>
      <c r="G100" s="54">
        <v>28220</v>
      </c>
      <c r="H100" s="54">
        <v>12282</v>
      </c>
      <c r="I100" s="74">
        <f t="shared" si="26"/>
        <v>297240</v>
      </c>
    </row>
    <row r="101" spans="2:9">
      <c r="B101" s="61">
        <v>23</v>
      </c>
      <c r="C101" s="16" t="s">
        <v>45</v>
      </c>
      <c r="D101" s="55">
        <v>46074</v>
      </c>
      <c r="E101" s="55">
        <v>51500</v>
      </c>
      <c r="F101" s="55">
        <v>28108</v>
      </c>
      <c r="G101" s="55">
        <v>7810</v>
      </c>
      <c r="H101" s="55">
        <v>2918</v>
      </c>
      <c r="I101" s="76">
        <f t="shared" si="26"/>
        <v>136410</v>
      </c>
    </row>
    <row r="102" spans="2:9">
      <c r="B102" s="61">
        <v>24</v>
      </c>
      <c r="C102" s="14" t="s">
        <v>46</v>
      </c>
      <c r="D102" s="54">
        <v>11480</v>
      </c>
      <c r="E102" s="54">
        <v>38758</v>
      </c>
      <c r="F102" s="54">
        <v>44816</v>
      </c>
      <c r="G102" s="54">
        <v>20614</v>
      </c>
      <c r="H102" s="54">
        <v>9324</v>
      </c>
      <c r="I102" s="74">
        <f t="shared" si="26"/>
        <v>124992</v>
      </c>
    </row>
    <row r="103" spans="2:9">
      <c r="B103" s="61">
        <v>25</v>
      </c>
      <c r="C103" s="14" t="s">
        <v>47</v>
      </c>
      <c r="D103" s="54">
        <v>5954</v>
      </c>
      <c r="E103" s="54">
        <v>43782</v>
      </c>
      <c r="F103" s="54">
        <v>52446</v>
      </c>
      <c r="G103" s="54">
        <v>23378</v>
      </c>
      <c r="H103" s="54">
        <v>9828</v>
      </c>
      <c r="I103" s="74">
        <f t="shared" si="26"/>
        <v>135388</v>
      </c>
    </row>
    <row r="104" spans="2:9">
      <c r="B104" s="61">
        <v>26</v>
      </c>
      <c r="C104" s="14" t="s">
        <v>48</v>
      </c>
      <c r="D104" s="54">
        <v>6288</v>
      </c>
      <c r="E104" s="54">
        <v>33338</v>
      </c>
      <c r="F104" s="54">
        <v>34120</v>
      </c>
      <c r="G104" s="54">
        <v>13798</v>
      </c>
      <c r="H104" s="54">
        <v>3984</v>
      </c>
      <c r="I104" s="74">
        <f t="shared" si="26"/>
        <v>91528</v>
      </c>
    </row>
    <row r="105" spans="2:9">
      <c r="B105" s="61">
        <v>27</v>
      </c>
      <c r="C105" s="14" t="s">
        <v>49</v>
      </c>
      <c r="D105" s="54">
        <v>986</v>
      </c>
      <c r="E105" s="54">
        <v>16534</v>
      </c>
      <c r="F105" s="54">
        <v>32874</v>
      </c>
      <c r="G105" s="54">
        <v>14596</v>
      </c>
      <c r="H105" s="54">
        <v>5070</v>
      </c>
      <c r="I105" s="74">
        <f t="shared" si="26"/>
        <v>70060</v>
      </c>
    </row>
    <row r="106" spans="2:9">
      <c r="B106" s="61">
        <v>28</v>
      </c>
      <c r="C106" s="16" t="s">
        <v>50</v>
      </c>
      <c r="D106" s="54">
        <v>3776</v>
      </c>
      <c r="E106" s="54">
        <v>32426</v>
      </c>
      <c r="F106" s="54">
        <v>57412</v>
      </c>
      <c r="G106" s="54">
        <v>30958</v>
      </c>
      <c r="H106" s="54">
        <v>13168</v>
      </c>
      <c r="I106" s="74">
        <f t="shared" si="26"/>
        <v>137740</v>
      </c>
    </row>
    <row r="107" spans="2:9">
      <c r="B107" s="61">
        <v>29</v>
      </c>
      <c r="C107" s="14" t="s">
        <v>51</v>
      </c>
      <c r="D107" s="72">
        <v>3632</v>
      </c>
      <c r="E107" s="72">
        <v>16272</v>
      </c>
      <c r="F107" s="72">
        <v>21868</v>
      </c>
      <c r="G107" s="72">
        <v>11206</v>
      </c>
      <c r="H107" s="72">
        <v>5640</v>
      </c>
      <c r="I107" s="75">
        <f t="shared" si="26"/>
        <v>58618</v>
      </c>
    </row>
    <row r="108" spans="2:9">
      <c r="B108" s="61">
        <v>30</v>
      </c>
      <c r="C108" s="16" t="s">
        <v>52</v>
      </c>
      <c r="D108" s="55">
        <v>4208</v>
      </c>
      <c r="E108" s="55">
        <v>27994</v>
      </c>
      <c r="F108" s="55">
        <v>47080</v>
      </c>
      <c r="G108" s="55">
        <v>27468</v>
      </c>
      <c r="H108" s="55">
        <v>14450</v>
      </c>
      <c r="I108" s="76">
        <f t="shared" si="26"/>
        <v>121200</v>
      </c>
    </row>
    <row r="109" spans="2:9">
      <c r="B109" s="61">
        <v>31</v>
      </c>
      <c r="C109" s="14" t="s">
        <v>53</v>
      </c>
      <c r="D109" s="54">
        <v>2130</v>
      </c>
      <c r="E109" s="54">
        <v>10740</v>
      </c>
      <c r="F109" s="54">
        <v>15842</v>
      </c>
      <c r="G109" s="54">
        <v>8030</v>
      </c>
      <c r="H109" s="54">
        <v>4274</v>
      </c>
      <c r="I109" s="74">
        <f t="shared" si="26"/>
        <v>41016</v>
      </c>
    </row>
    <row r="110" spans="2:9">
      <c r="B110" s="61">
        <v>32</v>
      </c>
      <c r="C110" s="16" t="s">
        <v>54</v>
      </c>
      <c r="D110" s="54">
        <v>998</v>
      </c>
      <c r="E110" s="54">
        <v>5558</v>
      </c>
      <c r="F110" s="54">
        <v>7014</v>
      </c>
      <c r="G110" s="54">
        <v>3250</v>
      </c>
      <c r="H110" s="54">
        <v>1392</v>
      </c>
      <c r="I110" s="74">
        <f t="shared" si="26"/>
        <v>18212</v>
      </c>
    </row>
    <row r="111" spans="2:9">
      <c r="B111" s="61">
        <v>33</v>
      </c>
      <c r="C111" s="14" t="s">
        <v>55</v>
      </c>
      <c r="D111" s="72">
        <v>5790</v>
      </c>
      <c r="E111" s="72">
        <v>25856</v>
      </c>
      <c r="F111" s="72">
        <v>33810</v>
      </c>
      <c r="G111" s="72">
        <v>16392</v>
      </c>
      <c r="H111" s="72">
        <v>7370</v>
      </c>
      <c r="I111" s="75">
        <f t="shared" si="26"/>
        <v>89218</v>
      </c>
    </row>
    <row r="112" spans="2:9">
      <c r="B112" s="61">
        <v>34</v>
      </c>
      <c r="C112" s="14" t="s">
        <v>56</v>
      </c>
      <c r="D112" s="54">
        <v>8648</v>
      </c>
      <c r="E112" s="54">
        <v>25878</v>
      </c>
      <c r="F112" s="54">
        <v>38000</v>
      </c>
      <c r="G112" s="54">
        <v>18624</v>
      </c>
      <c r="H112" s="54">
        <v>9066</v>
      </c>
      <c r="I112" s="74">
        <f t="shared" si="26"/>
        <v>100216</v>
      </c>
    </row>
    <row r="113" spans="3:9">
      <c r="C113" s="15" t="s">
        <v>57</v>
      </c>
      <c r="D113" s="55">
        <v>1434</v>
      </c>
      <c r="E113" s="55">
        <v>11008</v>
      </c>
      <c r="F113" s="55">
        <v>16608</v>
      </c>
      <c r="G113" s="55">
        <v>7828</v>
      </c>
      <c r="H113" s="55">
        <v>3448</v>
      </c>
      <c r="I113" s="76">
        <f t="shared" si="26"/>
        <v>40326</v>
      </c>
    </row>
    <row r="114" spans="3:9">
      <c r="C114" s="14" t="s">
        <v>58</v>
      </c>
      <c r="D114" s="54">
        <v>1372</v>
      </c>
      <c r="E114" s="54">
        <v>8240</v>
      </c>
      <c r="F114" s="54">
        <v>12650</v>
      </c>
      <c r="G114" s="54">
        <v>5754</v>
      </c>
      <c r="H114" s="54">
        <v>2220</v>
      </c>
      <c r="I114" s="74">
        <f t="shared" si="26"/>
        <v>30236</v>
      </c>
    </row>
    <row r="115" spans="3:9">
      <c r="C115" s="14" t="s">
        <v>59</v>
      </c>
      <c r="D115" s="54">
        <v>3658</v>
      </c>
      <c r="E115" s="54">
        <v>22104</v>
      </c>
      <c r="F115" s="54">
        <v>27016</v>
      </c>
      <c r="G115" s="54">
        <v>11210</v>
      </c>
      <c r="H115" s="54">
        <v>4438</v>
      </c>
      <c r="I115" s="74">
        <f t="shared" si="26"/>
        <v>68426</v>
      </c>
    </row>
    <row r="116" spans="3:9">
      <c r="C116" s="16" t="s">
        <v>60</v>
      </c>
      <c r="D116" s="55">
        <v>2750</v>
      </c>
      <c r="E116" s="55">
        <v>15968</v>
      </c>
      <c r="F116" s="55">
        <v>21224</v>
      </c>
      <c r="G116" s="55">
        <v>8172</v>
      </c>
      <c r="H116" s="55">
        <v>2768</v>
      </c>
      <c r="I116" s="76">
        <f t="shared" si="26"/>
        <v>50882</v>
      </c>
    </row>
    <row r="117" spans="3:9">
      <c r="C117" s="60" t="s">
        <v>26</v>
      </c>
      <c r="D117" s="57">
        <f>SUM(D86:D116)</f>
        <v>548858</v>
      </c>
      <c r="E117" s="57">
        <f>SUM(E86:E116)</f>
        <v>1430980</v>
      </c>
      <c r="F117" s="57">
        <f>SUM(F86:F116)</f>
        <v>1368264</v>
      </c>
      <c r="G117" s="57">
        <f>SUM(G86:G116)</f>
        <v>572898</v>
      </c>
      <c r="H117" s="57">
        <f>SUM(H86:H116)</f>
        <v>262082</v>
      </c>
      <c r="I117" s="78">
        <f t="shared" si="26"/>
        <v>4183082</v>
      </c>
    </row>
    <row r="120" spans="3:9">
      <c r="C120" s="125" t="s">
        <v>101</v>
      </c>
    </row>
    <row r="121" spans="3:9" ht="32.25" thickBot="1">
      <c r="C121" s="59" t="s">
        <v>28</v>
      </c>
      <c r="D121" s="59" t="s">
        <v>94</v>
      </c>
      <c r="E121" s="59" t="s">
        <v>95</v>
      </c>
      <c r="F121" s="59" t="s">
        <v>96</v>
      </c>
      <c r="G121" s="59" t="s">
        <v>97</v>
      </c>
      <c r="H121" s="59" t="s">
        <v>98</v>
      </c>
      <c r="I121" s="73" t="s">
        <v>99</v>
      </c>
    </row>
    <row r="122" spans="3:9" ht="16.5" thickTop="1">
      <c r="C122" s="23" t="s">
        <v>30</v>
      </c>
      <c r="D122" s="55">
        <v>169706.66666666669</v>
      </c>
      <c r="E122" s="55">
        <v>255126.66666666669</v>
      </c>
      <c r="F122" s="55">
        <v>132833.33333333331</v>
      </c>
      <c r="G122" s="55">
        <v>42300</v>
      </c>
      <c r="H122" s="55">
        <v>8226.6666666666679</v>
      </c>
      <c r="I122" s="76">
        <v>608193.33333333337</v>
      </c>
    </row>
    <row r="123" spans="3:9">
      <c r="C123" s="13" t="s">
        <v>31</v>
      </c>
      <c r="D123" s="54">
        <v>13660</v>
      </c>
      <c r="E123" s="54">
        <v>55033.333333333343</v>
      </c>
      <c r="F123" s="54">
        <v>61046.666666666672</v>
      </c>
      <c r="G123" s="54">
        <v>30080</v>
      </c>
      <c r="H123" s="54">
        <v>11420</v>
      </c>
      <c r="I123" s="74">
        <v>171240</v>
      </c>
    </row>
    <row r="124" spans="3:9">
      <c r="C124" s="14" t="s">
        <v>32</v>
      </c>
      <c r="D124" s="54">
        <v>7813.3333333333339</v>
      </c>
      <c r="E124" s="54">
        <v>40300</v>
      </c>
      <c r="F124" s="54">
        <v>50460</v>
      </c>
      <c r="G124" s="54">
        <v>21233.333333333339</v>
      </c>
      <c r="H124" s="54">
        <v>6413.3333333333339</v>
      </c>
      <c r="I124" s="74">
        <v>126220</v>
      </c>
    </row>
    <row r="125" spans="3:9">
      <c r="C125" s="15" t="s">
        <v>33</v>
      </c>
      <c r="D125" s="55">
        <v>5620</v>
      </c>
      <c r="E125" s="55">
        <v>33100</v>
      </c>
      <c r="F125" s="55">
        <v>44000</v>
      </c>
      <c r="G125" s="55">
        <v>20700</v>
      </c>
      <c r="H125" s="55">
        <v>7180</v>
      </c>
      <c r="I125" s="76">
        <v>110600</v>
      </c>
    </row>
    <row r="126" spans="3:9">
      <c r="C126" s="13" t="s">
        <v>34</v>
      </c>
      <c r="D126" s="54">
        <v>9486.6666666666679</v>
      </c>
      <c r="E126" s="54">
        <v>41600</v>
      </c>
      <c r="F126" s="54">
        <v>41293.333333333343</v>
      </c>
      <c r="G126" s="54">
        <v>15973.33333333333</v>
      </c>
      <c r="H126" s="54">
        <v>4373.3333333333339</v>
      </c>
      <c r="I126" s="74">
        <v>112726.6666666667</v>
      </c>
    </row>
    <row r="127" spans="3:9">
      <c r="C127" s="14" t="s">
        <v>35</v>
      </c>
      <c r="D127" s="54">
        <v>21186.666666666672</v>
      </c>
      <c r="E127" s="54">
        <v>165100</v>
      </c>
      <c r="F127" s="54">
        <v>96553.333333333343</v>
      </c>
      <c r="G127" s="54">
        <v>30846.666666666672</v>
      </c>
      <c r="H127" s="54">
        <v>10720</v>
      </c>
      <c r="I127" s="74">
        <v>324406.66666666669</v>
      </c>
    </row>
    <row r="128" spans="3:9">
      <c r="C128" s="14" t="s">
        <v>36</v>
      </c>
      <c r="D128" s="54">
        <v>7033.3333333333339</v>
      </c>
      <c r="E128" s="54">
        <v>55340</v>
      </c>
      <c r="F128" s="54">
        <v>73993.333333333343</v>
      </c>
      <c r="G128" s="54">
        <v>29353.333333333339</v>
      </c>
      <c r="H128" s="54">
        <v>10006.66666666667</v>
      </c>
      <c r="I128" s="74">
        <v>175726.66666666669</v>
      </c>
    </row>
    <row r="129" spans="3:9">
      <c r="C129" s="14" t="s">
        <v>37</v>
      </c>
      <c r="D129" s="54">
        <v>22026.666666666672</v>
      </c>
      <c r="E129" s="54">
        <v>70853.333333333343</v>
      </c>
      <c r="F129" s="54">
        <v>55786.666666666672</v>
      </c>
      <c r="G129" s="54">
        <v>23973.333333333339</v>
      </c>
      <c r="H129" s="54">
        <v>9720</v>
      </c>
      <c r="I129" s="74">
        <v>182360</v>
      </c>
    </row>
    <row r="130" spans="3:9">
      <c r="C130" s="14" t="s">
        <v>38</v>
      </c>
      <c r="D130" s="54">
        <v>7373.3333333333339</v>
      </c>
      <c r="E130" s="54">
        <v>44660</v>
      </c>
      <c r="F130" s="54">
        <v>70393.333333333343</v>
      </c>
      <c r="G130" s="54">
        <v>42540</v>
      </c>
      <c r="H130" s="54">
        <v>19433.333333333339</v>
      </c>
      <c r="I130" s="74">
        <v>184400</v>
      </c>
    </row>
    <row r="131" spans="3:9">
      <c r="C131" s="14" t="s">
        <v>39</v>
      </c>
      <c r="D131" s="54">
        <v>2840</v>
      </c>
      <c r="E131" s="54">
        <v>22753.333333333339</v>
      </c>
      <c r="F131" s="54">
        <v>38406.666666666672</v>
      </c>
      <c r="G131" s="54">
        <v>21073.333333333339</v>
      </c>
      <c r="H131" s="54">
        <v>7533.3333333333339</v>
      </c>
      <c r="I131" s="74">
        <v>92606.666666666672</v>
      </c>
    </row>
    <row r="132" spans="3:9">
      <c r="C132" s="15" t="s">
        <v>40</v>
      </c>
      <c r="D132" s="55">
        <v>960</v>
      </c>
      <c r="E132" s="55">
        <v>10613.33333333333</v>
      </c>
      <c r="F132" s="55">
        <v>18440</v>
      </c>
      <c r="G132" s="55">
        <v>11026.66666666667</v>
      </c>
      <c r="H132" s="55">
        <v>4306.666666666667</v>
      </c>
      <c r="I132" s="76">
        <v>45346.666666666657</v>
      </c>
    </row>
    <row r="133" spans="3:9">
      <c r="C133" s="14" t="s">
        <v>41</v>
      </c>
      <c r="D133" s="54">
        <v>6260</v>
      </c>
      <c r="E133" s="54">
        <v>39593.333333333343</v>
      </c>
      <c r="F133" s="54">
        <v>54213.333333333343</v>
      </c>
      <c r="G133" s="54">
        <v>27960</v>
      </c>
      <c r="H133" s="54">
        <v>8260</v>
      </c>
      <c r="I133" s="74">
        <v>136286.66666666669</v>
      </c>
    </row>
    <row r="134" spans="3:9">
      <c r="C134" s="14" t="s">
        <v>42</v>
      </c>
      <c r="D134" s="54">
        <v>7493.3333333333339</v>
      </c>
      <c r="E134" s="54">
        <v>41060</v>
      </c>
      <c r="F134" s="54">
        <v>61480</v>
      </c>
      <c r="G134" s="54">
        <v>32073.333333333339</v>
      </c>
      <c r="H134" s="54">
        <v>11480</v>
      </c>
      <c r="I134" s="74">
        <v>153586.66666666669</v>
      </c>
    </row>
    <row r="135" spans="3:9">
      <c r="C135" s="14" t="s">
        <v>43</v>
      </c>
      <c r="D135" s="54">
        <v>13420</v>
      </c>
      <c r="E135" s="54">
        <v>46426.666666666672</v>
      </c>
      <c r="F135" s="54">
        <v>59866.666666666672</v>
      </c>
      <c r="G135" s="54">
        <v>32633.333333333339</v>
      </c>
      <c r="H135" s="54">
        <v>12893.33333333333</v>
      </c>
      <c r="I135" s="74">
        <v>165240</v>
      </c>
    </row>
    <row r="136" spans="3:9">
      <c r="C136" s="14" t="s">
        <v>44</v>
      </c>
      <c r="D136" s="54">
        <v>67853.333333333343</v>
      </c>
      <c r="E136" s="54">
        <v>103226.6666666667</v>
      </c>
      <c r="F136" s="54">
        <v>80606.666666666672</v>
      </c>
      <c r="G136" s="54">
        <v>33986.666666666672</v>
      </c>
      <c r="H136" s="54">
        <v>12046.66666666667</v>
      </c>
      <c r="I136" s="74">
        <v>297720.00000000012</v>
      </c>
    </row>
    <row r="137" spans="3:9">
      <c r="C137" s="16" t="s">
        <v>45</v>
      </c>
      <c r="D137" s="55">
        <v>39900</v>
      </c>
      <c r="E137" s="55">
        <v>48366.666666666672</v>
      </c>
      <c r="F137" s="55">
        <v>31966.666666666672</v>
      </c>
      <c r="G137" s="55">
        <v>10706.66666666667</v>
      </c>
      <c r="H137" s="55">
        <v>3586.666666666667</v>
      </c>
      <c r="I137" s="76">
        <v>134526.66666666669</v>
      </c>
    </row>
    <row r="138" spans="3:9">
      <c r="C138" s="14" t="s">
        <v>46</v>
      </c>
      <c r="D138" s="54">
        <v>12573.33333333333</v>
      </c>
      <c r="E138" s="54">
        <v>39026.666666666672</v>
      </c>
      <c r="F138" s="54">
        <v>43193.333333333343</v>
      </c>
      <c r="G138" s="54">
        <v>19873.333333333339</v>
      </c>
      <c r="H138" s="54">
        <v>7620</v>
      </c>
      <c r="I138" s="74">
        <v>122286.6666666667</v>
      </c>
    </row>
    <row r="139" spans="3:9">
      <c r="C139" s="14" t="s">
        <v>47</v>
      </c>
      <c r="D139" s="54">
        <v>14433.33333333333</v>
      </c>
      <c r="E139" s="54">
        <v>41113.333333333343</v>
      </c>
      <c r="F139" s="54">
        <v>48846.666666666672</v>
      </c>
      <c r="G139" s="54">
        <v>23466.666666666672</v>
      </c>
      <c r="H139" s="54">
        <v>6813.3333333333339</v>
      </c>
      <c r="I139" s="74">
        <v>134673.33333333331</v>
      </c>
    </row>
    <row r="140" spans="3:9">
      <c r="C140" s="14" t="s">
        <v>48</v>
      </c>
      <c r="D140" s="54">
        <v>4960</v>
      </c>
      <c r="E140" s="54">
        <v>29600</v>
      </c>
      <c r="F140" s="54">
        <v>33986.666666666672</v>
      </c>
      <c r="G140" s="54">
        <v>18153.333333333339</v>
      </c>
      <c r="H140" s="54">
        <v>4860</v>
      </c>
      <c r="I140" s="74">
        <v>91560</v>
      </c>
    </row>
    <row r="141" spans="3:9">
      <c r="C141" s="14" t="s">
        <v>49</v>
      </c>
      <c r="D141" s="54">
        <v>2740</v>
      </c>
      <c r="E141" s="54">
        <v>16333.33333333333</v>
      </c>
      <c r="F141" s="54">
        <v>30113.333333333339</v>
      </c>
      <c r="G141" s="54">
        <v>16846.666666666672</v>
      </c>
      <c r="H141" s="54">
        <v>4366.666666666667</v>
      </c>
      <c r="I141" s="74">
        <v>70400.000000000015</v>
      </c>
    </row>
    <row r="142" spans="3:9">
      <c r="C142" s="16" t="s">
        <v>50</v>
      </c>
      <c r="D142" s="54">
        <v>5420</v>
      </c>
      <c r="E142" s="54">
        <v>36886.666666666672</v>
      </c>
      <c r="F142" s="54">
        <v>54140</v>
      </c>
      <c r="G142" s="54">
        <v>32193.333333333339</v>
      </c>
      <c r="H142" s="54">
        <v>8886.6666666666679</v>
      </c>
      <c r="I142" s="74">
        <v>137526.66666666669</v>
      </c>
    </row>
    <row r="143" spans="3:9">
      <c r="C143" s="14" t="s">
        <v>51</v>
      </c>
      <c r="D143" s="72">
        <v>2606.666666666667</v>
      </c>
      <c r="E143" s="72">
        <v>14020</v>
      </c>
      <c r="F143" s="72">
        <v>22886.666666666672</v>
      </c>
      <c r="G143" s="72">
        <v>14366.66666666667</v>
      </c>
      <c r="H143" s="72">
        <v>4313.3333333333339</v>
      </c>
      <c r="I143" s="75">
        <v>58193.333333333343</v>
      </c>
    </row>
    <row r="144" spans="3:9">
      <c r="C144" s="16" t="s">
        <v>52</v>
      </c>
      <c r="D144" s="55">
        <v>5173.3333333333339</v>
      </c>
      <c r="E144" s="55">
        <v>35120</v>
      </c>
      <c r="F144" s="55">
        <v>51246.666666666672</v>
      </c>
      <c r="G144" s="55">
        <v>32346.666666666672</v>
      </c>
      <c r="H144" s="55">
        <v>10880</v>
      </c>
      <c r="I144" s="76">
        <v>134766.66666666669</v>
      </c>
    </row>
    <row r="145" spans="3:9">
      <c r="C145" s="14" t="s">
        <v>53</v>
      </c>
      <c r="D145" s="54">
        <v>1853.333333333333</v>
      </c>
      <c r="E145" s="54">
        <v>10806.66666666667</v>
      </c>
      <c r="F145" s="54">
        <v>16446.666666666672</v>
      </c>
      <c r="G145" s="54">
        <v>8433.3333333333339</v>
      </c>
      <c r="H145" s="54">
        <v>3240</v>
      </c>
      <c r="I145" s="74">
        <v>40780.000000000007</v>
      </c>
    </row>
    <row r="146" spans="3:9">
      <c r="C146" s="16" t="s">
        <v>54</v>
      </c>
      <c r="D146" s="54">
        <v>1200</v>
      </c>
      <c r="E146" s="54">
        <v>5426.666666666667</v>
      </c>
      <c r="F146" s="54">
        <v>6880</v>
      </c>
      <c r="G146" s="54">
        <v>4593.3333333333339</v>
      </c>
      <c r="H146" s="54">
        <v>1393.333333333333</v>
      </c>
      <c r="I146" s="74">
        <v>19493.333333333328</v>
      </c>
    </row>
    <row r="147" spans="3:9">
      <c r="C147" s="14" t="s">
        <v>55</v>
      </c>
      <c r="D147" s="72">
        <v>4893.3333333333339</v>
      </c>
      <c r="E147" s="72">
        <v>26773.333333333339</v>
      </c>
      <c r="F147" s="72">
        <v>35960</v>
      </c>
      <c r="G147" s="72">
        <v>18233.333333333339</v>
      </c>
      <c r="H147" s="72">
        <v>5006.666666666667</v>
      </c>
      <c r="I147" s="75">
        <v>90866.666666666672</v>
      </c>
    </row>
    <row r="148" spans="3:9">
      <c r="C148" s="14" t="s">
        <v>56</v>
      </c>
      <c r="D148" s="54">
        <v>5486.666666666667</v>
      </c>
      <c r="E148" s="54">
        <v>26426.666666666672</v>
      </c>
      <c r="F148" s="54">
        <v>40026.666666666672</v>
      </c>
      <c r="G148" s="54">
        <v>22353.333333333339</v>
      </c>
      <c r="H148" s="54">
        <v>7446.666666666667</v>
      </c>
      <c r="I148" s="74">
        <v>101740</v>
      </c>
    </row>
    <row r="149" spans="3:9">
      <c r="C149" s="15" t="s">
        <v>57</v>
      </c>
      <c r="D149" s="55">
        <v>1206.666666666667</v>
      </c>
      <c r="E149" s="55">
        <v>9133.3333333333339</v>
      </c>
      <c r="F149" s="55">
        <v>17360</v>
      </c>
      <c r="G149" s="55">
        <v>9933.3333333333339</v>
      </c>
      <c r="H149" s="55">
        <v>3213.333333333333</v>
      </c>
      <c r="I149" s="76">
        <v>40846.666666666672</v>
      </c>
    </row>
    <row r="150" spans="3:9">
      <c r="C150" s="14" t="s">
        <v>58</v>
      </c>
      <c r="D150" s="54">
        <v>1233.333333333333</v>
      </c>
      <c r="E150" s="54">
        <v>8500</v>
      </c>
      <c r="F150" s="54">
        <v>13166.66666666667</v>
      </c>
      <c r="G150" s="54">
        <v>6313.3333333333339</v>
      </c>
      <c r="H150" s="54">
        <v>1293.333333333333</v>
      </c>
      <c r="I150" s="74">
        <v>30506.666666666672</v>
      </c>
    </row>
    <row r="151" spans="3:9">
      <c r="C151" s="14" t="s">
        <v>59</v>
      </c>
      <c r="D151" s="54">
        <v>4006.666666666667</v>
      </c>
      <c r="E151" s="54">
        <v>21633.333333333339</v>
      </c>
      <c r="F151" s="54">
        <v>28933.333333333339</v>
      </c>
      <c r="G151" s="54">
        <v>11420</v>
      </c>
      <c r="H151" s="54">
        <v>2893.333333333333</v>
      </c>
      <c r="I151" s="74">
        <v>68886.666666666672</v>
      </c>
    </row>
    <row r="152" spans="3:9">
      <c r="C152" s="16" t="s">
        <v>60</v>
      </c>
      <c r="D152" s="55">
        <v>1926.666666666667</v>
      </c>
      <c r="E152" s="55">
        <v>13233.33333333333</v>
      </c>
      <c r="F152" s="55">
        <v>22573.333333333339</v>
      </c>
      <c r="G152" s="55">
        <v>10886.66666666667</v>
      </c>
      <c r="H152" s="55">
        <v>2966.666666666667</v>
      </c>
      <c r="I152" s="76">
        <v>51586.666666666657</v>
      </c>
    </row>
    <row r="153" spans="3:9">
      <c r="C153" s="60" t="s">
        <v>26</v>
      </c>
      <c r="D153" s="57">
        <f>SUM(D122:D152)</f>
        <v>472346.66666666669</v>
      </c>
      <c r="E153" s="57">
        <f>SUM(E122:E152)</f>
        <v>1407186.6666666667</v>
      </c>
      <c r="F153" s="57">
        <f>SUM(F122:F152)</f>
        <v>1437100.0000000002</v>
      </c>
      <c r="G153" s="57">
        <f>SUM(G122:G152)</f>
        <v>675873.33333333349</v>
      </c>
      <c r="H153" s="57">
        <f>SUM(H122:H152)</f>
        <v>222793.33333333334</v>
      </c>
      <c r="I153" s="78">
        <f t="shared" ref="I153" si="27">SUM(D153:H153)</f>
        <v>4215300.0000000009</v>
      </c>
    </row>
    <row r="154" spans="3:9">
      <c r="C154" s="16" t="s">
        <v>107</v>
      </c>
      <c r="D154" s="55">
        <v>17726.666666666672</v>
      </c>
      <c r="E154" s="55">
        <v>71426.666666666672</v>
      </c>
      <c r="F154" s="55">
        <v>129073.3333333333</v>
      </c>
      <c r="G154" s="55">
        <v>65046.666666666672</v>
      </c>
      <c r="H154" s="55">
        <v>24533.333333333339</v>
      </c>
      <c r="I154" s="76">
        <v>307806.66666666669</v>
      </c>
    </row>
    <row r="155" spans="3:9">
      <c r="C155" s="60" t="s">
        <v>103</v>
      </c>
      <c r="D155" s="57">
        <f>SUM(D153:D154)</f>
        <v>490073.33333333337</v>
      </c>
      <c r="E155" s="57">
        <f t="shared" ref="E155:I155" si="28">SUM(E153:E154)</f>
        <v>1478613.3333333335</v>
      </c>
      <c r="F155" s="57">
        <f t="shared" si="28"/>
        <v>1566173.3333333335</v>
      </c>
      <c r="G155" s="57">
        <f t="shared" si="28"/>
        <v>740920.00000000012</v>
      </c>
      <c r="H155" s="57">
        <f t="shared" si="28"/>
        <v>247326.66666666669</v>
      </c>
      <c r="I155" s="78">
        <f t="shared" si="28"/>
        <v>4523106.6666666679</v>
      </c>
    </row>
    <row r="158" spans="3:9">
      <c r="C158" s="125" t="s">
        <v>108</v>
      </c>
    </row>
    <row r="159" spans="3:9" ht="32.25" thickBot="1">
      <c r="C159" s="59" t="s">
        <v>28</v>
      </c>
      <c r="D159" s="59" t="s">
        <v>94</v>
      </c>
      <c r="E159" s="59" t="s">
        <v>95</v>
      </c>
      <c r="F159" s="59" t="s">
        <v>96</v>
      </c>
      <c r="G159" s="59" t="s">
        <v>97</v>
      </c>
      <c r="H159" s="59" t="s">
        <v>98</v>
      </c>
      <c r="I159" s="73" t="s">
        <v>99</v>
      </c>
    </row>
    <row r="160" spans="3:9" ht="16.5" thickTop="1">
      <c r="C160" s="23" t="s">
        <v>30</v>
      </c>
      <c r="D160" s="140">
        <f>(D122-D86)/D86</f>
        <v>-0.16575724505880918</v>
      </c>
      <c r="E160" s="140">
        <f t="shared" ref="E160:I160" si="29">(E122-E86)/E86</f>
        <v>-3.5525446966374746E-2</v>
      </c>
      <c r="F160" s="140">
        <f t="shared" si="29"/>
        <v>0.28879315920880694</v>
      </c>
      <c r="G160" s="140">
        <f t="shared" si="29"/>
        <v>0.50963597430406848</v>
      </c>
      <c r="H160" s="140">
        <f t="shared" si="29"/>
        <v>5.2272533469770767E-2</v>
      </c>
      <c r="I160" s="141">
        <f t="shared" si="29"/>
        <v>2.2037078538127202E-3</v>
      </c>
    </row>
    <row r="161" spans="3:9">
      <c r="C161" s="13" t="s">
        <v>31</v>
      </c>
      <c r="D161" s="144">
        <f t="shared" ref="D161:I161" si="30">(D123-D87)/D87</f>
        <v>-0.14325137982940292</v>
      </c>
      <c r="E161" s="144">
        <f t="shared" si="30"/>
        <v>-2.8025416153268277E-3</v>
      </c>
      <c r="F161" s="144">
        <f t="shared" si="30"/>
        <v>4.0970374917581875E-2</v>
      </c>
      <c r="G161" s="144">
        <f t="shared" si="30"/>
        <v>0.16327635547992883</v>
      </c>
      <c r="H161" s="144">
        <f t="shared" si="30"/>
        <v>-0.1516862279007577</v>
      </c>
      <c r="I161" s="139">
        <f t="shared" si="30"/>
        <v>1.2679188153474949E-2</v>
      </c>
    </row>
    <row r="162" spans="3:9">
      <c r="C162" s="14" t="s">
        <v>32</v>
      </c>
      <c r="D162" s="144">
        <f t="shared" ref="D162:I162" si="31">(D124-D88)/D88</f>
        <v>-0.20109066121336053</v>
      </c>
      <c r="E162" s="144">
        <f t="shared" si="31"/>
        <v>-8.5255129834755763E-2</v>
      </c>
      <c r="F162" s="144">
        <f t="shared" si="31"/>
        <v>9.6193952033368085E-2</v>
      </c>
      <c r="G162" s="144">
        <f t="shared" si="31"/>
        <v>0.24127986281616623</v>
      </c>
      <c r="H162" s="144">
        <f t="shared" si="31"/>
        <v>-4.6202657148522612E-2</v>
      </c>
      <c r="I162" s="139">
        <f t="shared" si="31"/>
        <v>2.03883652120487E-2</v>
      </c>
    </row>
    <row r="163" spans="3:9">
      <c r="C163" s="15" t="s">
        <v>33</v>
      </c>
      <c r="D163" s="140">
        <f t="shared" ref="D163:I163" si="32">(D125-D89)/D89</f>
        <v>-0.21067415730337077</v>
      </c>
      <c r="E163" s="140">
        <f t="shared" si="32"/>
        <v>-9.3250054788516321E-2</v>
      </c>
      <c r="F163" s="140">
        <f t="shared" si="32"/>
        <v>5.1977239037918996E-2</v>
      </c>
      <c r="G163" s="140">
        <f t="shared" si="32"/>
        <v>0.27746235497408045</v>
      </c>
      <c r="H163" s="140">
        <f t="shared" si="32"/>
        <v>-4.9761778718898891E-2</v>
      </c>
      <c r="I163" s="141">
        <f t="shared" si="32"/>
        <v>1.2727772182034611E-2</v>
      </c>
    </row>
    <row r="164" spans="3:9">
      <c r="C164" s="13" t="s">
        <v>34</v>
      </c>
      <c r="D164" s="144">
        <f t="shared" ref="D164:I164" si="33">(D126-D90)/D90</f>
        <v>-0.19876126126126115</v>
      </c>
      <c r="E164" s="144">
        <f t="shared" si="33"/>
        <v>-7.3702961478512574E-2</v>
      </c>
      <c r="F164" s="144">
        <f t="shared" si="33"/>
        <v>7.928210489632366E-2</v>
      </c>
      <c r="G164" s="144">
        <f t="shared" si="33"/>
        <v>0.24791666666666642</v>
      </c>
      <c r="H164" s="144">
        <f t="shared" si="33"/>
        <v>-9.865347622973332E-2</v>
      </c>
      <c r="I164" s="139">
        <f t="shared" si="33"/>
        <v>5.7398827170386307E-4</v>
      </c>
    </row>
    <row r="165" spans="3:9">
      <c r="C165" s="14" t="s">
        <v>35</v>
      </c>
      <c r="D165" s="144">
        <f t="shared" ref="D165:I165" si="34">(D127-D91)/D91</f>
        <v>-0.38432329807431503</v>
      </c>
      <c r="E165" s="144">
        <f t="shared" si="34"/>
        <v>5.3323295606793331E-2</v>
      </c>
      <c r="F165" s="144">
        <f t="shared" si="34"/>
        <v>3.8900485628411877E-2</v>
      </c>
      <c r="G165" s="144">
        <f t="shared" si="34"/>
        <v>0.21991088612934712</v>
      </c>
      <c r="H165" s="144">
        <f t="shared" si="34"/>
        <v>-0.1093386507145231</v>
      </c>
      <c r="I165" s="139">
        <f t="shared" si="34"/>
        <v>9.3109406144931024E-3</v>
      </c>
    </row>
    <row r="166" spans="3:9">
      <c r="C166" s="14" t="s">
        <v>36</v>
      </c>
      <c r="D166" s="144">
        <f t="shared" ref="D166:I166" si="35">(D128-D92)/D92</f>
        <v>-0.14706120139057313</v>
      </c>
      <c r="E166" s="144">
        <f t="shared" si="35"/>
        <v>-2.4123580447203218E-2</v>
      </c>
      <c r="F166" s="144">
        <f t="shared" si="35"/>
        <v>5.6413770785148094E-2</v>
      </c>
      <c r="G166" s="144">
        <f t="shared" si="35"/>
        <v>0.10750578529027088</v>
      </c>
      <c r="H166" s="144">
        <f t="shared" si="35"/>
        <v>-0.11036036036036009</v>
      </c>
      <c r="I166" s="139">
        <f t="shared" si="35"/>
        <v>1.7242843139525125E-2</v>
      </c>
    </row>
    <row r="167" spans="3:9">
      <c r="C167" s="14" t="s">
        <v>37</v>
      </c>
      <c r="D167" s="144">
        <f t="shared" ref="D167:I167" si="36">(D129-D93)/D93</f>
        <v>-0.28373222337842507</v>
      </c>
      <c r="E167" s="144">
        <f t="shared" si="36"/>
        <v>-3.1608467692768082E-3</v>
      </c>
      <c r="F167" s="144">
        <f t="shared" si="36"/>
        <v>9.1715590345727432E-2</v>
      </c>
      <c r="G167" s="144">
        <f t="shared" si="36"/>
        <v>0.26843033509700209</v>
      </c>
      <c r="H167" s="144">
        <f t="shared" si="36"/>
        <v>-9.1758549803775E-2</v>
      </c>
      <c r="I167" s="139">
        <f t="shared" si="36"/>
        <v>-9.4230052812657511E-4</v>
      </c>
    </row>
    <row r="168" spans="3:9">
      <c r="C168" s="14" t="s">
        <v>38</v>
      </c>
      <c r="D168" s="144">
        <f t="shared" ref="D168:I168" si="37">(D130-D94)/D94</f>
        <v>-0.26222400106730698</v>
      </c>
      <c r="E168" s="144">
        <f t="shared" si="37"/>
        <v>-3.614296550800946E-3</v>
      </c>
      <c r="F168" s="144">
        <f t="shared" si="37"/>
        <v>4.3977773822942143E-2</v>
      </c>
      <c r="G168" s="144">
        <f t="shared" si="37"/>
        <v>0.16522406047989482</v>
      </c>
      <c r="H168" s="144">
        <f t="shared" si="37"/>
        <v>-0.19776530162923797</v>
      </c>
      <c r="I168" s="139">
        <f t="shared" si="37"/>
        <v>7.7824414130814971E-3</v>
      </c>
    </row>
    <row r="169" spans="3:9">
      <c r="C169" s="14" t="s">
        <v>39</v>
      </c>
      <c r="D169" s="144">
        <f t="shared" ref="D169:I169" si="38">(D131-D95)/D95</f>
        <v>-0.13308913308913309</v>
      </c>
      <c r="E169" s="144">
        <f t="shared" si="38"/>
        <v>-8.0153083225527999E-2</v>
      </c>
      <c r="F169" s="144">
        <f t="shared" si="38"/>
        <v>9.9044613901307262E-3</v>
      </c>
      <c r="G169" s="144">
        <f t="shared" si="38"/>
        <v>0.20916532782495637</v>
      </c>
      <c r="H169" s="144">
        <f t="shared" si="38"/>
        <v>-0.1147669408538973</v>
      </c>
      <c r="I169" s="139">
        <f t="shared" si="38"/>
        <v>6.8130753062260437E-3</v>
      </c>
    </row>
    <row r="170" spans="3:9">
      <c r="C170" s="15" t="s">
        <v>40</v>
      </c>
      <c r="D170" s="140">
        <f t="shared" ref="D170:I170" si="39">(D132-D96)/D96</f>
        <v>-0.28888888888888886</v>
      </c>
      <c r="E170" s="140">
        <f t="shared" si="39"/>
        <v>-1.7101932456628052E-2</v>
      </c>
      <c r="F170" s="140">
        <f t="shared" si="39"/>
        <v>5.4075683091345604E-2</v>
      </c>
      <c r="G170" s="140">
        <f t="shared" si="39"/>
        <v>0.17932263814616789</v>
      </c>
      <c r="H170" s="140">
        <f t="shared" si="39"/>
        <v>-0.17717488218061386</v>
      </c>
      <c r="I170" s="141">
        <f t="shared" si="39"/>
        <v>2.5339543858062159E-2</v>
      </c>
    </row>
    <row r="171" spans="3:9">
      <c r="C171" s="14" t="s">
        <v>41</v>
      </c>
      <c r="D171" s="144">
        <f t="shared" ref="D171:I171" si="40">(D133-D97)/D97</f>
        <v>0.37220517316966245</v>
      </c>
      <c r="E171" s="144">
        <f t="shared" si="40"/>
        <v>-1.1994476884430227E-2</v>
      </c>
      <c r="F171" s="144">
        <f t="shared" si="40"/>
        <v>-3.9656109024776037E-2</v>
      </c>
      <c r="G171" s="144">
        <f t="shared" si="40"/>
        <v>0.21575789199060788</v>
      </c>
      <c r="H171" s="144">
        <f t="shared" si="40"/>
        <v>-6.2641852019972771E-2</v>
      </c>
      <c r="I171" s="139">
        <f t="shared" si="40"/>
        <v>2.5498251792101356E-2</v>
      </c>
    </row>
    <row r="172" spans="3:9">
      <c r="C172" s="14" t="s">
        <v>42</v>
      </c>
      <c r="D172" s="144">
        <f t="shared" ref="D172:I172" si="41">(D134-D98)/D98</f>
        <v>-0.36797121007647321</v>
      </c>
      <c r="E172" s="144">
        <f t="shared" si="41"/>
        <v>6.7047817047817052E-2</v>
      </c>
      <c r="F172" s="144">
        <f t="shared" si="41"/>
        <v>-3.902185223725286E-4</v>
      </c>
      <c r="G172" s="144">
        <f t="shared" si="41"/>
        <v>0.10620588167666895</v>
      </c>
      <c r="H172" s="144">
        <f t="shared" si="41"/>
        <v>-0.20685366864722951</v>
      </c>
      <c r="I172" s="139">
        <f t="shared" si="41"/>
        <v>-1.1083352649788252E-2</v>
      </c>
    </row>
    <row r="173" spans="3:9">
      <c r="C173" s="14" t="s">
        <v>43</v>
      </c>
      <c r="D173" s="144">
        <f t="shared" ref="D173:I173" si="42">(D135-D99)/D99</f>
        <v>-0.19078630004823927</v>
      </c>
      <c r="E173" s="144">
        <f t="shared" si="42"/>
        <v>-1.1357183418512105E-2</v>
      </c>
      <c r="F173" s="144">
        <f t="shared" si="42"/>
        <v>3.5719640612204964E-2</v>
      </c>
      <c r="G173" s="144">
        <f t="shared" si="42"/>
        <v>0.1012125711457562</v>
      </c>
      <c r="H173" s="144">
        <f t="shared" si="42"/>
        <v>-0.12823980166779375</v>
      </c>
      <c r="I173" s="139">
        <f t="shared" si="42"/>
        <v>-3.1972009410629184E-3</v>
      </c>
    </row>
    <row r="174" spans="3:9">
      <c r="C174" s="14" t="s">
        <v>44</v>
      </c>
      <c r="D174" s="144">
        <f t="shared" ref="D174:I174" si="43">(D136-D100)/D100</f>
        <v>-3.8059863714120859E-2</v>
      </c>
      <c r="E174" s="144">
        <f t="shared" si="43"/>
        <v>-5.6808352521228199E-2</v>
      </c>
      <c r="F174" s="144">
        <f t="shared" si="43"/>
        <v>5.0167630760678927E-2</v>
      </c>
      <c r="G174" s="144">
        <f t="shared" si="43"/>
        <v>0.20434679896054825</v>
      </c>
      <c r="H174" s="144">
        <f t="shared" si="43"/>
        <v>-1.9160831569233861E-2</v>
      </c>
      <c r="I174" s="139">
        <f t="shared" si="43"/>
        <v>1.6148566814699113E-3</v>
      </c>
    </row>
    <row r="175" spans="3:9">
      <c r="C175" s="16" t="s">
        <v>45</v>
      </c>
      <c r="D175" s="140">
        <f t="shared" ref="D175:I175" si="44">(D137-D101)/D101</f>
        <v>-0.13400182315405651</v>
      </c>
      <c r="E175" s="140">
        <f t="shared" si="44"/>
        <v>-6.0841423948219973E-2</v>
      </c>
      <c r="F175" s="140">
        <f t="shared" si="44"/>
        <v>0.13728001517954574</v>
      </c>
      <c r="G175" s="140">
        <f t="shared" si="44"/>
        <v>0.37089201877934314</v>
      </c>
      <c r="H175" s="140">
        <f t="shared" si="44"/>
        <v>0.22915238748000924</v>
      </c>
      <c r="I175" s="141">
        <f t="shared" si="44"/>
        <v>-1.3806416929354989E-2</v>
      </c>
    </row>
    <row r="176" spans="3:9">
      <c r="C176" s="14" t="s">
        <v>46</v>
      </c>
      <c r="D176" s="144">
        <f t="shared" ref="D176:I176" si="45">(D138-D102)/D102</f>
        <v>9.5238095238094969E-2</v>
      </c>
      <c r="E176" s="144">
        <f t="shared" si="45"/>
        <v>6.9319022309373944E-3</v>
      </c>
      <c r="F176" s="144">
        <f t="shared" si="45"/>
        <v>-3.6207306914197095E-2</v>
      </c>
      <c r="G176" s="144">
        <f t="shared" si="45"/>
        <v>-3.5930273923870215E-2</v>
      </c>
      <c r="H176" s="144">
        <f t="shared" si="45"/>
        <v>-0.18275418275418276</v>
      </c>
      <c r="I176" s="139">
        <f t="shared" si="45"/>
        <v>-2.1644051885987097E-2</v>
      </c>
    </row>
    <row r="177" spans="3:9">
      <c r="C177" s="14" t="s">
        <v>47</v>
      </c>
      <c r="D177" s="144">
        <f t="shared" ref="D177:I177" si="46">(D139-D103)/D103</f>
        <v>1.4241406337476201</v>
      </c>
      <c r="E177" s="144">
        <f t="shared" si="46"/>
        <v>-6.0953512097817755E-2</v>
      </c>
      <c r="F177" s="144">
        <f t="shared" si="46"/>
        <v>-6.8629320316770173E-2</v>
      </c>
      <c r="G177" s="144">
        <f t="shared" si="46"/>
        <v>3.7927396127415314E-3</v>
      </c>
      <c r="H177" s="144">
        <f t="shared" si="46"/>
        <v>-0.30674264007597335</v>
      </c>
      <c r="I177" s="139">
        <f t="shared" si="46"/>
        <v>-5.2786559123902121E-3</v>
      </c>
    </row>
    <row r="178" spans="3:9">
      <c r="C178" s="14" t="s">
        <v>48</v>
      </c>
      <c r="D178" s="144">
        <f t="shared" ref="D178:I178" si="47">(D140-D104)/D104</f>
        <v>-0.21119592875318066</v>
      </c>
      <c r="E178" s="144">
        <f t="shared" si="47"/>
        <v>-0.11212430259763632</v>
      </c>
      <c r="F178" s="144">
        <f t="shared" si="47"/>
        <v>-3.9077764751854769E-3</v>
      </c>
      <c r="G178" s="144">
        <f t="shared" si="47"/>
        <v>0.31564961105474265</v>
      </c>
      <c r="H178" s="144">
        <f t="shared" si="47"/>
        <v>0.21987951807228914</v>
      </c>
      <c r="I178" s="139">
        <f t="shared" si="47"/>
        <v>3.4961978848002797E-4</v>
      </c>
    </row>
    <row r="179" spans="3:9">
      <c r="C179" s="14" t="s">
        <v>49</v>
      </c>
      <c r="D179" s="144">
        <f t="shared" ref="D179:I179" si="48">(D141-D105)/D105</f>
        <v>1.7789046653144016</v>
      </c>
      <c r="E179" s="144">
        <f t="shared" si="48"/>
        <v>-1.2136607394863294E-2</v>
      </c>
      <c r="F179" s="144">
        <f t="shared" si="48"/>
        <v>-8.3977205897264123E-2</v>
      </c>
      <c r="G179" s="144">
        <f t="shared" si="48"/>
        <v>0.15419749703115043</v>
      </c>
      <c r="H179" s="144">
        <f t="shared" si="48"/>
        <v>-0.1387245233399079</v>
      </c>
      <c r="I179" s="139">
        <f t="shared" si="48"/>
        <v>4.8529831572939556E-3</v>
      </c>
    </row>
    <row r="180" spans="3:9">
      <c r="C180" s="16" t="s">
        <v>50</v>
      </c>
      <c r="D180" s="144">
        <f t="shared" ref="D180:I180" si="49">(D142-D106)/D106</f>
        <v>0.4353813559322034</v>
      </c>
      <c r="E180" s="144">
        <f t="shared" si="49"/>
        <v>0.13756450584921581</v>
      </c>
      <c r="F180" s="144">
        <f t="shared" si="49"/>
        <v>-5.6991569706681532E-2</v>
      </c>
      <c r="G180" s="144">
        <f t="shared" si="49"/>
        <v>3.990352520619353E-2</v>
      </c>
      <c r="H180" s="144">
        <f t="shared" si="49"/>
        <v>-0.32513163223977309</v>
      </c>
      <c r="I180" s="139">
        <f t="shared" si="49"/>
        <v>-1.5488117709693185E-3</v>
      </c>
    </row>
    <row r="181" spans="3:9">
      <c r="C181" s="14" t="s">
        <v>51</v>
      </c>
      <c r="D181" s="148">
        <f t="shared" ref="D181:I181" si="50">(D143-D107)/D107</f>
        <v>-0.28230543318649037</v>
      </c>
      <c r="E181" s="148">
        <f t="shared" si="50"/>
        <v>-0.13839724680432644</v>
      </c>
      <c r="F181" s="148">
        <f t="shared" si="50"/>
        <v>4.6582525455765113E-2</v>
      </c>
      <c r="G181" s="148">
        <f t="shared" si="50"/>
        <v>0.28205128205128233</v>
      </c>
      <c r="H181" s="148">
        <f t="shared" si="50"/>
        <v>-0.23522458628841597</v>
      </c>
      <c r="I181" s="149">
        <f t="shared" si="50"/>
        <v>-7.2446461269005591E-3</v>
      </c>
    </row>
    <row r="182" spans="3:9">
      <c r="C182" s="16" t="s">
        <v>52</v>
      </c>
      <c r="D182" s="140">
        <f t="shared" ref="D182:I182" si="51">(D144-D108)/D108</f>
        <v>0.22940430925221814</v>
      </c>
      <c r="E182" s="140">
        <f t="shared" si="51"/>
        <v>0.25455454740301492</v>
      </c>
      <c r="F182" s="140">
        <f t="shared" si="51"/>
        <v>8.8501840838289533E-2</v>
      </c>
      <c r="G182" s="140">
        <f t="shared" si="51"/>
        <v>0.17761273724576496</v>
      </c>
      <c r="H182" s="140">
        <f t="shared" si="51"/>
        <v>-0.24705882352941178</v>
      </c>
      <c r="I182" s="141">
        <f t="shared" si="51"/>
        <v>0.11193619361936209</v>
      </c>
    </row>
    <row r="183" spans="3:9">
      <c r="C183" s="14" t="s">
        <v>53</v>
      </c>
      <c r="D183" s="144">
        <f t="shared" ref="D183:I183" si="52">(D145-D109)/D109</f>
        <v>-0.12989045383411596</v>
      </c>
      <c r="E183" s="144">
        <f t="shared" si="52"/>
        <v>6.2073246430791153E-3</v>
      </c>
      <c r="F183" s="144">
        <f t="shared" si="52"/>
        <v>3.8168581408071681E-2</v>
      </c>
      <c r="G183" s="144">
        <f t="shared" si="52"/>
        <v>5.0228310502283179E-2</v>
      </c>
      <c r="H183" s="144">
        <f t="shared" si="52"/>
        <v>-0.24192793635938231</v>
      </c>
      <c r="I183" s="139">
        <f t="shared" si="52"/>
        <v>-5.7538521552563081E-3</v>
      </c>
    </row>
    <row r="184" spans="3:9">
      <c r="C184" s="16" t="s">
        <v>54</v>
      </c>
      <c r="D184" s="144">
        <f t="shared" ref="D184:I184" si="53">(D146-D110)/D110</f>
        <v>0.20240480961923848</v>
      </c>
      <c r="E184" s="144">
        <f t="shared" si="53"/>
        <v>-2.3629602974691081E-2</v>
      </c>
      <c r="F184" s="144">
        <f t="shared" si="53"/>
        <v>-1.9104647847162818E-2</v>
      </c>
      <c r="G184" s="144">
        <f t="shared" si="53"/>
        <v>0.4133333333333335</v>
      </c>
      <c r="H184" s="144">
        <f t="shared" si="53"/>
        <v>9.5785440613005044E-4</v>
      </c>
      <c r="I184" s="139">
        <f t="shared" si="53"/>
        <v>7.0356541474485418E-2</v>
      </c>
    </row>
    <row r="185" spans="3:9">
      <c r="C185" s="14" t="s">
        <v>55</v>
      </c>
      <c r="D185" s="148">
        <f t="shared" ref="D185:I185" si="54">(D147-D111)/D111</f>
        <v>-0.15486470926885423</v>
      </c>
      <c r="E185" s="148">
        <f t="shared" si="54"/>
        <v>3.5478547854785714E-2</v>
      </c>
      <c r="F185" s="148">
        <f t="shared" si="54"/>
        <v>6.359065365276545E-2</v>
      </c>
      <c r="G185" s="148">
        <f t="shared" si="54"/>
        <v>0.11233121848055999</v>
      </c>
      <c r="H185" s="148">
        <f t="shared" si="54"/>
        <v>-0.32066938037087289</v>
      </c>
      <c r="I185" s="149">
        <f t="shared" si="54"/>
        <v>1.8479081201850205E-2</v>
      </c>
    </row>
    <row r="186" spans="3:9">
      <c r="C186" s="14" t="s">
        <v>56</v>
      </c>
      <c r="D186" s="144">
        <f t="shared" ref="D186:I186" si="55">(D148-D112)/D112</f>
        <v>-0.36555658341042241</v>
      </c>
      <c r="E186" s="144">
        <f t="shared" si="55"/>
        <v>2.1202050647912186E-2</v>
      </c>
      <c r="F186" s="144">
        <f t="shared" si="55"/>
        <v>5.3333333333333462E-2</v>
      </c>
      <c r="G186" s="144">
        <f t="shared" si="55"/>
        <v>0.20024341351660971</v>
      </c>
      <c r="H186" s="144">
        <f t="shared" si="55"/>
        <v>-0.17861607471137581</v>
      </c>
      <c r="I186" s="139">
        <f t="shared" si="55"/>
        <v>1.5207152550490939E-2</v>
      </c>
    </row>
    <row r="187" spans="3:9">
      <c r="C187" s="15" t="s">
        <v>57</v>
      </c>
      <c r="D187" s="140">
        <f t="shared" ref="D187:I187" si="56">(D149-D113)/D113</f>
        <v>-0.15853091585309137</v>
      </c>
      <c r="E187" s="140">
        <f t="shared" si="56"/>
        <v>-0.17030038759689917</v>
      </c>
      <c r="F187" s="140">
        <f t="shared" si="56"/>
        <v>4.527938342967245E-2</v>
      </c>
      <c r="G187" s="140">
        <f t="shared" si="56"/>
        <v>0.26894907170839727</v>
      </c>
      <c r="H187" s="140">
        <f t="shared" si="56"/>
        <v>-6.8058778035576264E-2</v>
      </c>
      <c r="I187" s="141">
        <f t="shared" si="56"/>
        <v>1.2911438443353457E-2</v>
      </c>
    </row>
    <row r="188" spans="3:9">
      <c r="C188" s="14" t="s">
        <v>58</v>
      </c>
      <c r="D188" s="144">
        <f t="shared" ref="D188:I188" si="57">(D150-D114)/D114</f>
        <v>-0.10106899902818292</v>
      </c>
      <c r="E188" s="144">
        <f t="shared" si="57"/>
        <v>3.1553398058252427E-2</v>
      </c>
      <c r="F188" s="144">
        <f t="shared" si="57"/>
        <v>4.0843214756258475E-2</v>
      </c>
      <c r="G188" s="144">
        <f t="shared" si="57"/>
        <v>9.7207739543506075E-2</v>
      </c>
      <c r="H188" s="144">
        <f t="shared" si="57"/>
        <v>-0.41741741741741756</v>
      </c>
      <c r="I188" s="139">
        <f t="shared" si="57"/>
        <v>8.9518013846630346E-3</v>
      </c>
    </row>
    <row r="189" spans="3:9">
      <c r="C189" s="14" t="s">
        <v>59</v>
      </c>
      <c r="D189" s="144">
        <f t="shared" ref="D189:I189" si="58">(D151-D115)/D115</f>
        <v>9.531620193183897E-2</v>
      </c>
      <c r="E189" s="144">
        <f t="shared" si="58"/>
        <v>-2.1293280250934701E-2</v>
      </c>
      <c r="F189" s="144">
        <f t="shared" si="58"/>
        <v>7.0970289211331777E-2</v>
      </c>
      <c r="G189" s="144">
        <f t="shared" si="58"/>
        <v>1.8733273862622659E-2</v>
      </c>
      <c r="H189" s="144">
        <f t="shared" si="58"/>
        <v>-0.34805467928496325</v>
      </c>
      <c r="I189" s="139">
        <f t="shared" si="58"/>
        <v>6.7323337133059291E-3</v>
      </c>
    </row>
    <row r="190" spans="3:9">
      <c r="C190" s="16" t="s">
        <v>60</v>
      </c>
      <c r="D190" s="140">
        <f t="shared" ref="D190:I190" si="59">(D152-D116)/D116</f>
        <v>-0.29939393939393927</v>
      </c>
      <c r="E190" s="140">
        <f t="shared" si="59"/>
        <v>-0.17125918503674034</v>
      </c>
      <c r="F190" s="140">
        <f t="shared" si="59"/>
        <v>6.3575826108807923E-2</v>
      </c>
      <c r="G190" s="140">
        <f t="shared" si="59"/>
        <v>0.33219122205906382</v>
      </c>
      <c r="H190" s="140">
        <f t="shared" si="59"/>
        <v>7.1772639691714948E-2</v>
      </c>
      <c r="I190" s="141">
        <f t="shared" si="59"/>
        <v>1.384903633242909E-2</v>
      </c>
    </row>
    <row r="191" spans="3:9">
      <c r="C191" s="60" t="s">
        <v>26</v>
      </c>
      <c r="D191" s="142">
        <f t="shared" ref="D191:I191" si="60">(D153-D117)/D117</f>
        <v>-0.13940096224038515</v>
      </c>
      <c r="E191" s="142">
        <f t="shared" si="60"/>
        <v>-1.6627299706028914E-2</v>
      </c>
      <c r="F191" s="142">
        <f t="shared" si="60"/>
        <v>5.0309004695000548E-2</v>
      </c>
      <c r="G191" s="142">
        <f t="shared" si="60"/>
        <v>0.17974462004289329</v>
      </c>
      <c r="H191" s="142">
        <f t="shared" si="60"/>
        <v>-0.14990982466047517</v>
      </c>
      <c r="I191" s="143">
        <f t="shared" si="60"/>
        <v>7.7019766765272423E-3</v>
      </c>
    </row>
  </sheetData>
  <pageMargins left="0.7" right="0.7" top="0.75" bottom="0.75" header="0.3" footer="0.3"/>
  <pageSetup paperSize="17" orientation="portrait" verticalDpi="0" r:id="rId1"/>
  <ignoredErrors>
    <ignoredError sqref="D9:H16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89B5-5DD8-764B-BE5E-2B3C8C566A9F}">
  <dimension ref="B2:M161"/>
  <sheetViews>
    <sheetView topLeftCell="A119" zoomScale="80" zoomScaleNormal="80" workbookViewId="0">
      <selection activeCell="M49" sqref="M49"/>
    </sheetView>
  </sheetViews>
  <sheetFormatPr defaultColWidth="11" defaultRowHeight="15.75"/>
  <cols>
    <col min="1" max="1" width="4" customWidth="1"/>
    <col min="2" max="2" width="3.125" hidden="1" customWidth="1"/>
    <col min="3" max="3" width="28.625" customWidth="1"/>
    <col min="13" max="13" width="14.125" customWidth="1"/>
    <col min="14" max="14" width="5.125" customWidth="1"/>
  </cols>
  <sheetData>
    <row r="2" spans="2:13" ht="18.75">
      <c r="C2" s="1" t="s">
        <v>109</v>
      </c>
    </row>
    <row r="3" spans="2:13" ht="18.75">
      <c r="C3" s="1" t="s">
        <v>1</v>
      </c>
    </row>
    <row r="4" spans="2:13" ht="18.75">
      <c r="C4" s="1" t="s">
        <v>62</v>
      </c>
    </row>
    <row r="7" spans="2:13" ht="16.5" thickBot="1">
      <c r="B7" s="52"/>
      <c r="C7" s="58" t="s">
        <v>5</v>
      </c>
      <c r="D7" s="59" t="s">
        <v>110</v>
      </c>
      <c r="E7" s="59" t="s">
        <v>111</v>
      </c>
      <c r="F7" s="59" t="s">
        <v>112</v>
      </c>
      <c r="G7" s="59" t="s">
        <v>113</v>
      </c>
      <c r="H7" s="59" t="s">
        <v>114</v>
      </c>
      <c r="I7" s="59" t="s">
        <v>115</v>
      </c>
      <c r="J7" s="59" t="s">
        <v>116</v>
      </c>
      <c r="K7" s="59" t="s">
        <v>117</v>
      </c>
      <c r="L7" s="59" t="s">
        <v>118</v>
      </c>
      <c r="M7" s="73" t="s">
        <v>119</v>
      </c>
    </row>
    <row r="8" spans="2:13" ht="16.5" thickTop="1">
      <c r="B8" s="61">
        <v>1</v>
      </c>
      <c r="C8" t="s">
        <v>17</v>
      </c>
      <c r="D8" s="54">
        <f t="shared" ref="D8:L8" si="0">D56</f>
        <v>1439406</v>
      </c>
      <c r="E8" s="54">
        <f t="shared" si="0"/>
        <v>145202</v>
      </c>
      <c r="F8" s="54">
        <f t="shared" si="0"/>
        <v>210458</v>
      </c>
      <c r="G8" s="54">
        <f t="shared" si="0"/>
        <v>307770</v>
      </c>
      <c r="H8" s="54">
        <f t="shared" si="0"/>
        <v>264462</v>
      </c>
      <c r="I8" s="54">
        <f t="shared" si="0"/>
        <v>206162</v>
      </c>
      <c r="J8" s="54">
        <f t="shared" si="0"/>
        <v>674056</v>
      </c>
      <c r="K8" s="54">
        <f t="shared" si="0"/>
        <v>168380</v>
      </c>
      <c r="L8" s="54">
        <f t="shared" si="0"/>
        <v>932928</v>
      </c>
      <c r="M8" s="74">
        <f t="shared" ref="M8:M17" si="1">SUM(D8:L8)</f>
        <v>4348824</v>
      </c>
    </row>
    <row r="9" spans="2:13">
      <c r="B9" s="61">
        <v>2</v>
      </c>
      <c r="C9" t="s">
        <v>18</v>
      </c>
      <c r="D9" s="54">
        <f t="shared" ref="D9:L9" si="2">SUM(D57:D59)</f>
        <v>1023706</v>
      </c>
      <c r="E9" s="54">
        <f t="shared" si="2"/>
        <v>51232</v>
      </c>
      <c r="F9" s="54">
        <f t="shared" si="2"/>
        <v>298854</v>
      </c>
      <c r="G9" s="54">
        <f t="shared" si="2"/>
        <v>233368</v>
      </c>
      <c r="H9" s="54">
        <f t="shared" si="2"/>
        <v>202940</v>
      </c>
      <c r="I9" s="54">
        <f t="shared" si="2"/>
        <v>250402</v>
      </c>
      <c r="J9" s="54">
        <f t="shared" si="2"/>
        <v>597494</v>
      </c>
      <c r="K9" s="54">
        <f t="shared" si="2"/>
        <v>144974</v>
      </c>
      <c r="L9" s="54">
        <f t="shared" si="2"/>
        <v>878710</v>
      </c>
      <c r="M9" s="74">
        <f t="shared" si="1"/>
        <v>3681680</v>
      </c>
    </row>
    <row r="10" spans="2:13">
      <c r="B10" s="61">
        <v>3</v>
      </c>
      <c r="C10" t="s">
        <v>19</v>
      </c>
      <c r="D10" s="54">
        <f t="shared" ref="D10:L10" si="3">SUM(D60:D66)</f>
        <v>2824866</v>
      </c>
      <c r="E10" s="54">
        <f t="shared" si="3"/>
        <v>259134</v>
      </c>
      <c r="F10" s="54">
        <f t="shared" si="3"/>
        <v>904426</v>
      </c>
      <c r="G10" s="54">
        <f t="shared" si="3"/>
        <v>604000</v>
      </c>
      <c r="H10" s="54">
        <f t="shared" si="3"/>
        <v>575896</v>
      </c>
      <c r="I10" s="54">
        <f t="shared" si="3"/>
        <v>799038</v>
      </c>
      <c r="J10" s="54">
        <f t="shared" si="3"/>
        <v>1685098</v>
      </c>
      <c r="K10" s="54">
        <f t="shared" si="3"/>
        <v>432676</v>
      </c>
      <c r="L10" s="54">
        <f t="shared" si="3"/>
        <v>2511598</v>
      </c>
      <c r="M10" s="74">
        <f t="shared" si="1"/>
        <v>10596732</v>
      </c>
    </row>
    <row r="11" spans="2:13">
      <c r="B11" s="61">
        <v>4</v>
      </c>
      <c r="C11" t="s">
        <v>20</v>
      </c>
      <c r="D11" s="54">
        <f t="shared" ref="D11:L11" si="4">SUM(D67:D71)</f>
        <v>1994558</v>
      </c>
      <c r="E11" s="54">
        <f t="shared" si="4"/>
        <v>258762</v>
      </c>
      <c r="F11" s="54">
        <f t="shared" si="4"/>
        <v>647198</v>
      </c>
      <c r="G11" s="54">
        <f t="shared" si="4"/>
        <v>435472</v>
      </c>
      <c r="H11" s="54">
        <f t="shared" si="4"/>
        <v>432830</v>
      </c>
      <c r="I11" s="54">
        <f t="shared" si="4"/>
        <v>556718</v>
      </c>
      <c r="J11" s="54">
        <f t="shared" si="4"/>
        <v>1287452</v>
      </c>
      <c r="K11" s="54">
        <f t="shared" si="4"/>
        <v>333814</v>
      </c>
      <c r="L11" s="54">
        <f t="shared" si="4"/>
        <v>1872686</v>
      </c>
      <c r="M11" s="74">
        <f t="shared" si="1"/>
        <v>7819490</v>
      </c>
    </row>
    <row r="12" spans="2:13">
      <c r="B12" s="61">
        <v>5</v>
      </c>
      <c r="C12" t="s">
        <v>21</v>
      </c>
      <c r="D12" s="54">
        <f t="shared" ref="D12:L12" si="5">SUM(D72:D76)</f>
        <v>1339380</v>
      </c>
      <c r="E12" s="54">
        <f t="shared" si="5"/>
        <v>74704</v>
      </c>
      <c r="F12" s="54">
        <f t="shared" si="5"/>
        <v>493098</v>
      </c>
      <c r="G12" s="54">
        <f t="shared" si="5"/>
        <v>319046</v>
      </c>
      <c r="H12" s="54">
        <f t="shared" si="5"/>
        <v>285474</v>
      </c>
      <c r="I12" s="54">
        <f t="shared" si="5"/>
        <v>408692</v>
      </c>
      <c r="J12" s="54">
        <f t="shared" si="5"/>
        <v>912304</v>
      </c>
      <c r="K12" s="54">
        <f t="shared" si="5"/>
        <v>219434</v>
      </c>
      <c r="L12" s="54">
        <f t="shared" si="5"/>
        <v>1328242</v>
      </c>
      <c r="M12" s="74">
        <f t="shared" si="1"/>
        <v>5380374</v>
      </c>
    </row>
    <row r="13" spans="2:13">
      <c r="B13" s="61">
        <v>6</v>
      </c>
      <c r="C13" t="s">
        <v>22</v>
      </c>
      <c r="D13" s="54">
        <f t="shared" ref="D13:L13" si="6">SUM(D77:D78)</f>
        <v>465242</v>
      </c>
      <c r="E13" s="54">
        <f t="shared" si="6"/>
        <v>24722</v>
      </c>
      <c r="F13" s="54">
        <f t="shared" si="6"/>
        <v>169378</v>
      </c>
      <c r="G13" s="54">
        <f t="shared" si="6"/>
        <v>106668</v>
      </c>
      <c r="H13" s="54">
        <f t="shared" si="6"/>
        <v>89592</v>
      </c>
      <c r="I13" s="54">
        <f t="shared" si="6"/>
        <v>146044</v>
      </c>
      <c r="J13" s="54">
        <f t="shared" si="6"/>
        <v>297624</v>
      </c>
      <c r="K13" s="54">
        <f t="shared" si="6"/>
        <v>73644</v>
      </c>
      <c r="L13" s="54">
        <f t="shared" si="6"/>
        <v>439600</v>
      </c>
      <c r="M13" s="74">
        <f t="shared" si="1"/>
        <v>1812514</v>
      </c>
    </row>
    <row r="14" spans="2:13">
      <c r="B14" s="61">
        <v>7</v>
      </c>
      <c r="C14" t="s">
        <v>23</v>
      </c>
      <c r="D14" s="54">
        <f t="shared" ref="D14:L14" si="7">SUM(D79:D80)</f>
        <v>151396</v>
      </c>
      <c r="E14" s="54">
        <f t="shared" si="7"/>
        <v>7288</v>
      </c>
      <c r="F14" s="54">
        <f t="shared" si="7"/>
        <v>46322</v>
      </c>
      <c r="G14" s="54">
        <f t="shared" si="7"/>
        <v>33140</v>
      </c>
      <c r="H14" s="54">
        <f t="shared" si="7"/>
        <v>27084</v>
      </c>
      <c r="I14" s="54">
        <f t="shared" si="7"/>
        <v>39298</v>
      </c>
      <c r="J14" s="54">
        <f t="shared" si="7"/>
        <v>89328</v>
      </c>
      <c r="K14" s="54">
        <f t="shared" si="7"/>
        <v>21472</v>
      </c>
      <c r="L14" s="54">
        <f t="shared" si="7"/>
        <v>131302</v>
      </c>
      <c r="M14" s="74">
        <f t="shared" si="1"/>
        <v>546630</v>
      </c>
    </row>
    <row r="15" spans="2:13">
      <c r="B15" s="61">
        <v>8</v>
      </c>
      <c r="C15" t="s">
        <v>24</v>
      </c>
      <c r="D15" s="54">
        <f t="shared" ref="D15:L15" si="8">SUM(D81:D83)</f>
        <v>538424</v>
      </c>
      <c r="E15" s="54">
        <f t="shared" si="8"/>
        <v>33652</v>
      </c>
      <c r="F15" s="54">
        <f t="shared" si="8"/>
        <v>170224</v>
      </c>
      <c r="G15" s="54">
        <f t="shared" si="8"/>
        <v>112730</v>
      </c>
      <c r="H15" s="54">
        <f t="shared" si="8"/>
        <v>101816</v>
      </c>
      <c r="I15" s="54">
        <f t="shared" si="8"/>
        <v>144622</v>
      </c>
      <c r="J15" s="54">
        <f t="shared" si="8"/>
        <v>338710</v>
      </c>
      <c r="K15" s="54">
        <f t="shared" si="8"/>
        <v>81304</v>
      </c>
      <c r="L15" s="54">
        <f t="shared" si="8"/>
        <v>486154</v>
      </c>
      <c r="M15" s="74">
        <f t="shared" si="1"/>
        <v>2007636</v>
      </c>
    </row>
    <row r="16" spans="2:13">
      <c r="B16" s="61">
        <v>9</v>
      </c>
      <c r="C16" s="12" t="s">
        <v>25</v>
      </c>
      <c r="D16" s="55">
        <f t="shared" ref="D16:L16" si="9">SUM(D84:D86)</f>
        <v>331150</v>
      </c>
      <c r="E16" s="55">
        <f t="shared" si="9"/>
        <v>17264</v>
      </c>
      <c r="F16" s="55">
        <f t="shared" si="9"/>
        <v>92210</v>
      </c>
      <c r="G16" s="55">
        <f t="shared" si="9"/>
        <v>69362</v>
      </c>
      <c r="H16" s="55">
        <f t="shared" si="9"/>
        <v>70586</v>
      </c>
      <c r="I16" s="55">
        <f t="shared" si="9"/>
        <v>86488</v>
      </c>
      <c r="J16" s="55">
        <f t="shared" si="9"/>
        <v>227236</v>
      </c>
      <c r="K16" s="55">
        <f t="shared" si="9"/>
        <v>50506</v>
      </c>
      <c r="L16" s="55">
        <f t="shared" si="9"/>
        <v>314716</v>
      </c>
      <c r="M16" s="74">
        <f t="shared" si="1"/>
        <v>1259518</v>
      </c>
    </row>
    <row r="17" spans="3:13">
      <c r="C17" s="56" t="s">
        <v>26</v>
      </c>
      <c r="D17" s="57">
        <f t="shared" ref="D17:L17" si="10">SUM(D8:D16)</f>
        <v>10108128</v>
      </c>
      <c r="E17" s="57">
        <f t="shared" si="10"/>
        <v>871960</v>
      </c>
      <c r="F17" s="57">
        <f t="shared" si="10"/>
        <v>3032168</v>
      </c>
      <c r="G17" s="57">
        <f t="shared" si="10"/>
        <v>2221556</v>
      </c>
      <c r="H17" s="57">
        <f t="shared" si="10"/>
        <v>2050680</v>
      </c>
      <c r="I17" s="57">
        <f t="shared" si="10"/>
        <v>2637464</v>
      </c>
      <c r="J17" s="57">
        <f t="shared" si="10"/>
        <v>6109302</v>
      </c>
      <c r="K17" s="57">
        <f t="shared" si="10"/>
        <v>1526204</v>
      </c>
      <c r="L17" s="57">
        <f t="shared" si="10"/>
        <v>8895936</v>
      </c>
      <c r="M17" s="78">
        <f t="shared" si="1"/>
        <v>37453398</v>
      </c>
    </row>
    <row r="20" spans="3:13">
      <c r="C20" s="125" t="s">
        <v>101</v>
      </c>
    </row>
    <row r="21" spans="3:13" ht="16.5" thickBot="1">
      <c r="C21" s="58" t="s">
        <v>5</v>
      </c>
      <c r="D21" s="59" t="s">
        <v>110</v>
      </c>
      <c r="E21" s="59" t="s">
        <v>111</v>
      </c>
      <c r="F21" s="59" t="s">
        <v>112</v>
      </c>
      <c r="G21" s="59" t="s">
        <v>113</v>
      </c>
      <c r="H21" s="59" t="s">
        <v>114</v>
      </c>
      <c r="I21" s="59" t="s">
        <v>115</v>
      </c>
      <c r="J21" s="59" t="s">
        <v>116</v>
      </c>
      <c r="K21" s="59" t="s">
        <v>117</v>
      </c>
      <c r="L21" s="59" t="s">
        <v>118</v>
      </c>
      <c r="M21" s="73" t="s">
        <v>119</v>
      </c>
    </row>
    <row r="22" spans="3:13" ht="16.5" thickTop="1">
      <c r="C22" t="s">
        <v>17</v>
      </c>
      <c r="D22" s="54">
        <v>1779813.333333333</v>
      </c>
      <c r="E22" s="54">
        <v>115393.3333333333</v>
      </c>
      <c r="F22" s="54">
        <v>328546.66666666669</v>
      </c>
      <c r="G22" s="54">
        <v>464900</v>
      </c>
      <c r="H22" s="54">
        <v>242053.33333333331</v>
      </c>
      <c r="I22" s="54">
        <v>243380</v>
      </c>
      <c r="J22" s="54">
        <v>643160</v>
      </c>
      <c r="K22" s="54">
        <v>150060</v>
      </c>
      <c r="L22" s="54">
        <v>875753.33333333337</v>
      </c>
      <c r="M22" s="74">
        <v>4843060</v>
      </c>
    </row>
    <row r="23" spans="3:13">
      <c r="C23" t="s">
        <v>18</v>
      </c>
      <c r="D23" s="54">
        <v>1038393.333333333</v>
      </c>
      <c r="E23" s="54">
        <v>42540</v>
      </c>
      <c r="F23" s="54">
        <v>357466.66666666669</v>
      </c>
      <c r="G23" s="54">
        <v>213560</v>
      </c>
      <c r="H23" s="54">
        <v>154773.33333333331</v>
      </c>
      <c r="I23" s="54">
        <v>249493.33333333331</v>
      </c>
      <c r="J23" s="54">
        <v>489106.66666666669</v>
      </c>
      <c r="K23" s="54">
        <v>100686.6666666667</v>
      </c>
      <c r="L23" s="54">
        <v>619320</v>
      </c>
      <c r="M23" s="74">
        <v>3265340</v>
      </c>
    </row>
    <row r="24" spans="3:13">
      <c r="C24" t="s">
        <v>19</v>
      </c>
      <c r="D24" s="54">
        <v>3074146.666666667</v>
      </c>
      <c r="E24" s="54">
        <v>225726.66666666669</v>
      </c>
      <c r="F24" s="54">
        <v>1147126.666666667</v>
      </c>
      <c r="G24" s="54">
        <v>707420</v>
      </c>
      <c r="H24" s="54">
        <v>493120</v>
      </c>
      <c r="I24" s="54">
        <v>868646.66666666674</v>
      </c>
      <c r="J24" s="54">
        <v>1441880</v>
      </c>
      <c r="K24" s="54">
        <v>333486.66666666669</v>
      </c>
      <c r="L24" s="54">
        <v>1969680</v>
      </c>
      <c r="M24" s="74">
        <v>10261233.33333333</v>
      </c>
    </row>
    <row r="25" spans="3:13">
      <c r="C25" t="s">
        <v>20</v>
      </c>
      <c r="D25" s="54">
        <v>2227820</v>
      </c>
      <c r="E25" s="54">
        <v>204140</v>
      </c>
      <c r="F25" s="54">
        <v>852566.66666666674</v>
      </c>
      <c r="G25" s="54">
        <v>506740</v>
      </c>
      <c r="H25" s="54">
        <v>357393.33333333337</v>
      </c>
      <c r="I25" s="54">
        <v>622120</v>
      </c>
      <c r="J25" s="54">
        <v>1061780</v>
      </c>
      <c r="K25" s="54">
        <v>259973.33333333331</v>
      </c>
      <c r="L25" s="54">
        <v>1422120</v>
      </c>
      <c r="M25" s="74">
        <v>7514653.333333334</v>
      </c>
    </row>
    <row r="26" spans="3:13">
      <c r="C26" t="s">
        <v>21</v>
      </c>
      <c r="D26" s="54">
        <v>1269080</v>
      </c>
      <c r="E26" s="54">
        <v>72553.333333333343</v>
      </c>
      <c r="F26" s="54">
        <v>563020</v>
      </c>
      <c r="G26" s="54">
        <v>251160</v>
      </c>
      <c r="H26" s="54">
        <v>226406.66666666669</v>
      </c>
      <c r="I26" s="54">
        <v>417380</v>
      </c>
      <c r="J26" s="54">
        <v>747080</v>
      </c>
      <c r="K26" s="54">
        <v>164006.66666666669</v>
      </c>
      <c r="L26" s="54">
        <v>964120</v>
      </c>
      <c r="M26" s="74">
        <v>4674806.666666666</v>
      </c>
    </row>
    <row r="27" spans="3:13">
      <c r="C27" t="s">
        <v>22</v>
      </c>
      <c r="D27" s="54">
        <v>502220</v>
      </c>
      <c r="E27" s="54">
        <v>25980</v>
      </c>
      <c r="F27" s="54">
        <v>213640</v>
      </c>
      <c r="G27" s="54">
        <v>98473.333333333343</v>
      </c>
      <c r="H27" s="54">
        <v>71493.333333333343</v>
      </c>
      <c r="I27" s="54">
        <v>144673.33333333331</v>
      </c>
      <c r="J27" s="54">
        <v>237766.66666666669</v>
      </c>
      <c r="K27" s="54">
        <v>53326.666666666672</v>
      </c>
      <c r="L27" s="54">
        <v>310520</v>
      </c>
      <c r="M27" s="74">
        <v>1658093.333333333</v>
      </c>
    </row>
    <row r="28" spans="3:13">
      <c r="C28" t="s">
        <v>23</v>
      </c>
      <c r="D28" s="54">
        <v>169113.33333333331</v>
      </c>
      <c r="E28" s="54">
        <v>8180</v>
      </c>
      <c r="F28" s="54">
        <v>53606.666666666672</v>
      </c>
      <c r="G28" s="54">
        <v>37440</v>
      </c>
      <c r="H28" s="54">
        <v>22053.333333333339</v>
      </c>
      <c r="I28" s="54">
        <v>37140</v>
      </c>
      <c r="J28" s="54">
        <v>69200</v>
      </c>
      <c r="K28" s="54">
        <v>14940</v>
      </c>
      <c r="L28" s="54">
        <v>91400</v>
      </c>
      <c r="M28" s="74">
        <v>503073.33333333337</v>
      </c>
    </row>
    <row r="29" spans="3:13">
      <c r="C29" t="s">
        <v>24</v>
      </c>
      <c r="D29" s="54">
        <v>580346.66666666674</v>
      </c>
      <c r="E29" s="54">
        <v>35313.333333333343</v>
      </c>
      <c r="F29" s="54">
        <v>209166.66666666669</v>
      </c>
      <c r="G29" s="54">
        <v>114880</v>
      </c>
      <c r="H29" s="54">
        <v>87706.666666666672</v>
      </c>
      <c r="I29" s="54">
        <v>154433.33333333331</v>
      </c>
      <c r="J29" s="54">
        <v>289906.66666666669</v>
      </c>
      <c r="K29" s="54">
        <v>61393.333333333343</v>
      </c>
      <c r="L29" s="54">
        <v>383393.33333333337</v>
      </c>
      <c r="M29" s="74">
        <v>1916540</v>
      </c>
    </row>
    <row r="30" spans="3:13">
      <c r="C30" s="12" t="s">
        <v>25</v>
      </c>
      <c r="D30" s="55">
        <v>315846.66666666669</v>
      </c>
      <c r="E30" s="55">
        <v>14000</v>
      </c>
      <c r="F30" s="55">
        <v>117313.3333333333</v>
      </c>
      <c r="G30" s="55">
        <v>56733.333333333343</v>
      </c>
      <c r="H30" s="55">
        <v>54093.333333333343</v>
      </c>
      <c r="I30" s="55">
        <v>88426.666666666672</v>
      </c>
      <c r="J30" s="55">
        <v>180180</v>
      </c>
      <c r="K30" s="55">
        <v>36613.333333333343</v>
      </c>
      <c r="L30" s="55">
        <v>225213.33333333331</v>
      </c>
      <c r="M30" s="74">
        <v>1088420</v>
      </c>
    </row>
    <row r="31" spans="3:13">
      <c r="C31" s="56" t="s">
        <v>26</v>
      </c>
      <c r="D31" s="57">
        <f t="shared" ref="D31:L31" si="11">SUM(D22:D30)</f>
        <v>10956779.999999998</v>
      </c>
      <c r="E31" s="57">
        <f t="shared" si="11"/>
        <v>743826.66666666674</v>
      </c>
      <c r="F31" s="57">
        <f t="shared" si="11"/>
        <v>3842453.3333333335</v>
      </c>
      <c r="G31" s="57">
        <f t="shared" si="11"/>
        <v>2451306.666666667</v>
      </c>
      <c r="H31" s="57">
        <f t="shared" si="11"/>
        <v>1709093.3333333333</v>
      </c>
      <c r="I31" s="57">
        <f t="shared" si="11"/>
        <v>2825693.3333333335</v>
      </c>
      <c r="J31" s="57">
        <f t="shared" si="11"/>
        <v>5160060.0000000009</v>
      </c>
      <c r="K31" s="57">
        <f t="shared" si="11"/>
        <v>1174486.6666666667</v>
      </c>
      <c r="L31" s="57">
        <f t="shared" si="11"/>
        <v>6861520</v>
      </c>
      <c r="M31" s="78">
        <f t="shared" ref="M31" si="12">SUM(D31:L31)</f>
        <v>35725220</v>
      </c>
    </row>
    <row r="32" spans="3:13">
      <c r="C32" s="12" t="s">
        <v>102</v>
      </c>
      <c r="D32" s="55">
        <v>683086.66666666674</v>
      </c>
      <c r="E32" s="55">
        <v>52700</v>
      </c>
      <c r="F32" s="55">
        <v>477273.33333333337</v>
      </c>
      <c r="G32" s="55">
        <v>149546.66666666669</v>
      </c>
      <c r="H32" s="55">
        <v>114653.3333333333</v>
      </c>
      <c r="I32" s="55">
        <v>330620</v>
      </c>
      <c r="J32" s="55">
        <v>466373.33333333337</v>
      </c>
      <c r="K32" s="55">
        <v>108393.3333333333</v>
      </c>
      <c r="L32" s="55">
        <v>604660</v>
      </c>
      <c r="M32" s="74">
        <v>2987306.666666667</v>
      </c>
    </row>
    <row r="33" spans="3:13">
      <c r="C33" s="56" t="s">
        <v>103</v>
      </c>
      <c r="D33" s="57">
        <f>SUM(D31:D32)</f>
        <v>11639866.666666664</v>
      </c>
      <c r="E33" s="57">
        <f t="shared" ref="E33:M33" si="13">SUM(E31:E32)</f>
        <v>796526.66666666674</v>
      </c>
      <c r="F33" s="57">
        <f t="shared" si="13"/>
        <v>4319726.666666667</v>
      </c>
      <c r="G33" s="57">
        <f t="shared" si="13"/>
        <v>2600853.3333333335</v>
      </c>
      <c r="H33" s="57">
        <f t="shared" si="13"/>
        <v>1823746.6666666665</v>
      </c>
      <c r="I33" s="57">
        <f t="shared" si="13"/>
        <v>3156313.3333333335</v>
      </c>
      <c r="J33" s="57">
        <f t="shared" si="13"/>
        <v>5626433.333333334</v>
      </c>
      <c r="K33" s="57">
        <f t="shared" si="13"/>
        <v>1282880</v>
      </c>
      <c r="L33" s="57">
        <f t="shared" si="13"/>
        <v>7466180</v>
      </c>
      <c r="M33" s="78">
        <f t="shared" si="13"/>
        <v>38712526.666666664</v>
      </c>
    </row>
    <row r="36" spans="3:13">
      <c r="C36" s="125" t="s">
        <v>120</v>
      </c>
    </row>
    <row r="37" spans="3:13" ht="16.5" thickBot="1">
      <c r="C37" s="58" t="s">
        <v>5</v>
      </c>
      <c r="D37" s="59" t="s">
        <v>110</v>
      </c>
      <c r="E37" s="59" t="s">
        <v>111</v>
      </c>
      <c r="F37" s="59" t="s">
        <v>112</v>
      </c>
      <c r="G37" s="59" t="s">
        <v>113</v>
      </c>
      <c r="H37" s="59" t="s">
        <v>114</v>
      </c>
      <c r="I37" s="59" t="s">
        <v>115</v>
      </c>
      <c r="J37" s="59" t="s">
        <v>116</v>
      </c>
      <c r="K37" s="59" t="s">
        <v>117</v>
      </c>
      <c r="L37" s="59" t="s">
        <v>118</v>
      </c>
      <c r="M37" s="73" t="s">
        <v>119</v>
      </c>
    </row>
    <row r="38" spans="3:13" ht="16.5" thickTop="1">
      <c r="C38" t="s">
        <v>17</v>
      </c>
      <c r="D38" s="138">
        <f>(D22-D8)/D8</f>
        <v>0.23649153423935501</v>
      </c>
      <c r="E38" s="138">
        <f t="shared" ref="E38:M38" si="14">(E22-E8)/E8</f>
        <v>-0.20529101986657691</v>
      </c>
      <c r="F38" s="138">
        <f t="shared" si="14"/>
        <v>0.56110324466956207</v>
      </c>
      <c r="G38" s="138">
        <f t="shared" si="14"/>
        <v>0.51054358774409458</v>
      </c>
      <c r="H38" s="138">
        <f t="shared" si="14"/>
        <v>-8.4733030328238784E-2</v>
      </c>
      <c r="I38" s="138">
        <f t="shared" si="14"/>
        <v>0.18052793434289538</v>
      </c>
      <c r="J38" s="138">
        <f t="shared" si="14"/>
        <v>-4.5835954282730219E-2</v>
      </c>
      <c r="K38" s="138">
        <f t="shared" si="14"/>
        <v>-0.10880152037059033</v>
      </c>
      <c r="L38" s="138">
        <f t="shared" si="14"/>
        <v>-6.1285186709656721E-2</v>
      </c>
      <c r="M38" s="139">
        <f t="shared" si="14"/>
        <v>0.1136481954661766</v>
      </c>
    </row>
    <row r="39" spans="3:13">
      <c r="C39" t="s">
        <v>18</v>
      </c>
      <c r="D39" s="138">
        <f t="shared" ref="D39:M39" si="15">(D23-D9)/D9</f>
        <v>1.4347218179177442E-2</v>
      </c>
      <c r="E39" s="138">
        <f t="shared" si="15"/>
        <v>-0.16965958775765147</v>
      </c>
      <c r="F39" s="138">
        <f t="shared" si="15"/>
        <v>0.19612475210861052</v>
      </c>
      <c r="G39" s="138">
        <f t="shared" si="15"/>
        <v>-8.4878818004182233E-2</v>
      </c>
      <c r="H39" s="138">
        <f t="shared" si="15"/>
        <v>-0.23734437107847978</v>
      </c>
      <c r="I39" s="138">
        <f t="shared" si="15"/>
        <v>-3.6288315056057304E-3</v>
      </c>
      <c r="J39" s="138">
        <f t="shared" si="15"/>
        <v>-0.18140321632239539</v>
      </c>
      <c r="K39" s="138">
        <f t="shared" si="15"/>
        <v>-0.30548466161748522</v>
      </c>
      <c r="L39" s="138">
        <f t="shared" si="15"/>
        <v>-0.29519409133843932</v>
      </c>
      <c r="M39" s="139">
        <f t="shared" si="15"/>
        <v>-0.11308424414941005</v>
      </c>
    </row>
    <row r="40" spans="3:13">
      <c r="C40" t="s">
        <v>19</v>
      </c>
      <c r="D40" s="138">
        <f t="shared" ref="D40:M40" si="16">(D24-D10)/D10</f>
        <v>8.8245129739487463E-2</v>
      </c>
      <c r="E40" s="138">
        <f t="shared" si="16"/>
        <v>-0.12891914350619105</v>
      </c>
      <c r="F40" s="138">
        <f t="shared" si="16"/>
        <v>0.26834773288988484</v>
      </c>
      <c r="G40" s="138">
        <f t="shared" si="16"/>
        <v>0.17122516556291389</v>
      </c>
      <c r="H40" s="138">
        <f t="shared" si="16"/>
        <v>-0.14373428535707836</v>
      </c>
      <c r="I40" s="138">
        <f t="shared" si="16"/>
        <v>8.7115589830104131E-2</v>
      </c>
      <c r="J40" s="138">
        <f t="shared" si="16"/>
        <v>-0.14433463216976106</v>
      </c>
      <c r="K40" s="138">
        <f t="shared" si="16"/>
        <v>-0.2292462104053225</v>
      </c>
      <c r="L40" s="138">
        <f t="shared" si="16"/>
        <v>-0.21576621736440307</v>
      </c>
      <c r="M40" s="139">
        <f t="shared" si="16"/>
        <v>-3.166057862619058E-2</v>
      </c>
    </row>
    <row r="41" spans="3:13">
      <c r="C41" t="s">
        <v>20</v>
      </c>
      <c r="D41" s="138">
        <f t="shared" ref="D41:M41" si="17">(D25-D11)/D11</f>
        <v>0.11694921882442125</v>
      </c>
      <c r="E41" s="138">
        <f t="shared" si="17"/>
        <v>-0.2110897272397029</v>
      </c>
      <c r="F41" s="138">
        <f t="shared" si="17"/>
        <v>0.31731968681403022</v>
      </c>
      <c r="G41" s="138">
        <f t="shared" si="17"/>
        <v>0.16365690561046406</v>
      </c>
      <c r="H41" s="138">
        <f t="shared" si="17"/>
        <v>-0.17428705650409312</v>
      </c>
      <c r="I41" s="138">
        <f t="shared" si="17"/>
        <v>0.11747778947330606</v>
      </c>
      <c r="J41" s="138">
        <f t="shared" si="17"/>
        <v>-0.17528575822632611</v>
      </c>
      <c r="K41" s="138">
        <f t="shared" si="17"/>
        <v>-0.22120302523760743</v>
      </c>
      <c r="L41" s="138">
        <f t="shared" si="17"/>
        <v>-0.24059879766282227</v>
      </c>
      <c r="M41" s="139">
        <f t="shared" si="17"/>
        <v>-3.8984213377939746E-2</v>
      </c>
    </row>
    <row r="42" spans="3:13">
      <c r="C42" t="s">
        <v>21</v>
      </c>
      <c r="D42" s="138">
        <f t="shared" ref="D42:M42" si="18">(D26-D12)/D12</f>
        <v>-5.2486971583867163E-2</v>
      </c>
      <c r="E42" s="138">
        <f t="shared" si="18"/>
        <v>-2.8789176840151223E-2</v>
      </c>
      <c r="F42" s="138">
        <f t="shared" si="18"/>
        <v>0.1418014268968846</v>
      </c>
      <c r="G42" s="138">
        <f t="shared" si="18"/>
        <v>-0.21277809469480891</v>
      </c>
      <c r="H42" s="138">
        <f t="shared" si="18"/>
        <v>-0.20690967770561702</v>
      </c>
      <c r="I42" s="138">
        <f t="shared" si="18"/>
        <v>2.1258062306088694E-2</v>
      </c>
      <c r="J42" s="138">
        <f t="shared" si="18"/>
        <v>-0.18110629790069976</v>
      </c>
      <c r="K42" s="138">
        <f t="shared" si="18"/>
        <v>-0.25259227527791189</v>
      </c>
      <c r="L42" s="138">
        <f t="shared" si="18"/>
        <v>-0.27413829708742832</v>
      </c>
      <c r="M42" s="139">
        <f t="shared" si="18"/>
        <v>-0.13113722825464066</v>
      </c>
    </row>
    <row r="43" spans="3:13">
      <c r="C43" t="s">
        <v>22</v>
      </c>
      <c r="D43" s="138">
        <f t="shared" ref="D43:M43" si="19">(D27-D13)/D13</f>
        <v>7.9481216227253779E-2</v>
      </c>
      <c r="E43" s="138">
        <f t="shared" si="19"/>
        <v>5.0885850659331766E-2</v>
      </c>
      <c r="F43" s="138">
        <f t="shared" si="19"/>
        <v>0.26132083269373829</v>
      </c>
      <c r="G43" s="138">
        <f t="shared" si="19"/>
        <v>-7.682403969950366E-2</v>
      </c>
      <c r="H43" s="138">
        <f t="shared" si="19"/>
        <v>-0.20201208441229862</v>
      </c>
      <c r="I43" s="138">
        <f t="shared" si="19"/>
        <v>-9.385299407484636E-3</v>
      </c>
      <c r="J43" s="138">
        <f t="shared" si="19"/>
        <v>-0.20111729340823761</v>
      </c>
      <c r="K43" s="138">
        <f t="shared" si="19"/>
        <v>-0.27588579291365661</v>
      </c>
      <c r="L43" s="138">
        <f t="shared" si="19"/>
        <v>-0.29363057324840763</v>
      </c>
      <c r="M43" s="139">
        <f t="shared" si="19"/>
        <v>-8.5196951122400694E-2</v>
      </c>
    </row>
    <row r="44" spans="3:13">
      <c r="C44" t="s">
        <v>23</v>
      </c>
      <c r="D44" s="138">
        <f t="shared" ref="D44:M44" si="20">(D28-D14)/D14</f>
        <v>0.11702642958422491</v>
      </c>
      <c r="E44" s="138">
        <f t="shared" si="20"/>
        <v>0.12239297475301866</v>
      </c>
      <c r="F44" s="138">
        <f t="shared" si="20"/>
        <v>0.1572614884216284</v>
      </c>
      <c r="G44" s="138">
        <f t="shared" si="20"/>
        <v>0.12975256487628245</v>
      </c>
      <c r="H44" s="138">
        <f t="shared" si="20"/>
        <v>-0.18574312016934946</v>
      </c>
      <c r="I44" s="138">
        <f t="shared" si="20"/>
        <v>-5.4913736067993282E-2</v>
      </c>
      <c r="J44" s="138">
        <f t="shared" si="20"/>
        <v>-0.22532688518717536</v>
      </c>
      <c r="K44" s="138">
        <f t="shared" si="20"/>
        <v>-0.30421013412816694</v>
      </c>
      <c r="L44" s="138">
        <f t="shared" si="20"/>
        <v>-0.3038948378547166</v>
      </c>
      <c r="M44" s="139">
        <f t="shared" si="20"/>
        <v>-7.9682173804340464E-2</v>
      </c>
    </row>
    <row r="45" spans="3:13">
      <c r="C45" t="s">
        <v>24</v>
      </c>
      <c r="D45" s="138">
        <f t="shared" ref="D45:M45" si="21">(D29-D15)/D15</f>
        <v>7.7861809032782239E-2</v>
      </c>
      <c r="E45" s="138">
        <f t="shared" si="21"/>
        <v>4.9368041523040029E-2</v>
      </c>
      <c r="F45" s="138">
        <f t="shared" si="21"/>
        <v>0.22877306764420227</v>
      </c>
      <c r="G45" s="138">
        <f t="shared" si="21"/>
        <v>1.9072119222922027E-2</v>
      </c>
      <c r="H45" s="138">
        <f t="shared" si="21"/>
        <v>-0.13857677902621718</v>
      </c>
      <c r="I45" s="138">
        <f t="shared" si="21"/>
        <v>6.7841222866046061E-2</v>
      </c>
      <c r="J45" s="138">
        <f t="shared" si="21"/>
        <v>-0.14408589452137024</v>
      </c>
      <c r="K45" s="138">
        <f t="shared" si="21"/>
        <v>-0.24489160024927012</v>
      </c>
      <c r="L45" s="138">
        <f t="shared" si="21"/>
        <v>-0.21137472213880093</v>
      </c>
      <c r="M45" s="139">
        <f t="shared" si="21"/>
        <v>-4.5374759169490887E-2</v>
      </c>
    </row>
    <row r="46" spans="3:13">
      <c r="C46" s="12" t="s">
        <v>25</v>
      </c>
      <c r="D46" s="140">
        <f t="shared" ref="D46:M46" si="22">(D30-D16)/D16</f>
        <v>-4.621269314006738E-2</v>
      </c>
      <c r="E46" s="140">
        <f t="shared" si="22"/>
        <v>-0.18906394810009267</v>
      </c>
      <c r="F46" s="140">
        <f t="shared" si="22"/>
        <v>0.27224089939630519</v>
      </c>
      <c r="G46" s="140">
        <f t="shared" si="22"/>
        <v>-0.18206895226012307</v>
      </c>
      <c r="H46" s="140">
        <f t="shared" si="22"/>
        <v>-0.23365351013893204</v>
      </c>
      <c r="I46" s="140">
        <f t="shared" si="22"/>
        <v>2.2415441063114785E-2</v>
      </c>
      <c r="J46" s="140">
        <f t="shared" si="22"/>
        <v>-0.20707986410603954</v>
      </c>
      <c r="K46" s="140">
        <f t="shared" si="22"/>
        <v>-0.27506962869098039</v>
      </c>
      <c r="L46" s="140">
        <f t="shared" si="22"/>
        <v>-0.28439185381952836</v>
      </c>
      <c r="M46" s="139">
        <f t="shared" si="22"/>
        <v>-0.1358440292238777</v>
      </c>
    </row>
    <row r="47" spans="3:13">
      <c r="C47" s="56" t="s">
        <v>26</v>
      </c>
      <c r="D47" s="142">
        <f t="shared" ref="D47:M47" si="23">(D31-D17)/D17</f>
        <v>8.3957385581187552E-2</v>
      </c>
      <c r="E47" s="142">
        <f t="shared" si="23"/>
        <v>-0.14694863678762013</v>
      </c>
      <c r="F47" s="142">
        <f t="shared" si="23"/>
        <v>0.26722969615579795</v>
      </c>
      <c r="G47" s="142">
        <f t="shared" si="23"/>
        <v>0.10341880495772647</v>
      </c>
      <c r="H47" s="142">
        <f t="shared" si="23"/>
        <v>-0.16657238899617041</v>
      </c>
      <c r="I47" s="142">
        <f t="shared" si="23"/>
        <v>7.1367545996204498E-2</v>
      </c>
      <c r="J47" s="142">
        <f t="shared" si="23"/>
        <v>-0.15537650618679499</v>
      </c>
      <c r="K47" s="142">
        <f t="shared" si="23"/>
        <v>-0.23045237290253023</v>
      </c>
      <c r="L47" s="142">
        <f t="shared" si="23"/>
        <v>-0.22869049417621709</v>
      </c>
      <c r="M47" s="143">
        <f t="shared" si="23"/>
        <v>-4.6142088362716785E-2</v>
      </c>
    </row>
    <row r="50" spans="2:13" ht="18.75">
      <c r="C50" s="1" t="s">
        <v>121</v>
      </c>
    </row>
    <row r="51" spans="2:13" ht="18.75">
      <c r="C51" s="1" t="s">
        <v>1</v>
      </c>
    </row>
    <row r="52" spans="2:13" ht="18.75">
      <c r="C52" s="1" t="s">
        <v>62</v>
      </c>
    </row>
    <row r="55" spans="2:13" ht="16.5" thickBot="1">
      <c r="C55" s="59" t="s">
        <v>28</v>
      </c>
      <c r="D55" s="59" t="s">
        <v>110</v>
      </c>
      <c r="E55" s="59" t="s">
        <v>111</v>
      </c>
      <c r="F55" s="59" t="s">
        <v>112</v>
      </c>
      <c r="G55" s="59" t="s">
        <v>113</v>
      </c>
      <c r="H55" s="59" t="s">
        <v>114</v>
      </c>
      <c r="I55" s="59" t="s">
        <v>115</v>
      </c>
      <c r="J55" s="59" t="s">
        <v>116</v>
      </c>
      <c r="K55" s="59" t="s">
        <v>117</v>
      </c>
      <c r="L55" s="59" t="s">
        <v>118</v>
      </c>
      <c r="M55" s="73" t="s">
        <v>119</v>
      </c>
    </row>
    <row r="56" spans="2:13" ht="16.5" thickTop="1">
      <c r="B56" s="62" t="s">
        <v>29</v>
      </c>
      <c r="C56" s="14" t="s">
        <v>30</v>
      </c>
      <c r="D56" s="54">
        <v>1439406</v>
      </c>
      <c r="E56" s="54">
        <v>145202</v>
      </c>
      <c r="F56" s="54">
        <v>210458</v>
      </c>
      <c r="G56" s="54">
        <v>307770</v>
      </c>
      <c r="H56" s="54">
        <v>264462</v>
      </c>
      <c r="I56" s="54">
        <v>206162</v>
      </c>
      <c r="J56" s="54">
        <v>674056</v>
      </c>
      <c r="K56" s="54">
        <v>168380</v>
      </c>
      <c r="L56" s="54">
        <v>932928</v>
      </c>
      <c r="M56" s="74">
        <f t="shared" ref="M56:M87" si="24">SUM(D56:L56)</f>
        <v>4348824</v>
      </c>
    </row>
    <row r="57" spans="2:13">
      <c r="B57" s="61">
        <v>5</v>
      </c>
      <c r="C57" s="13" t="s">
        <v>31</v>
      </c>
      <c r="D57" s="72">
        <v>464992</v>
      </c>
      <c r="E57" s="72">
        <v>24590</v>
      </c>
      <c r="F57" s="72">
        <v>124886</v>
      </c>
      <c r="G57" s="72">
        <v>106590</v>
      </c>
      <c r="H57" s="72">
        <v>85572</v>
      </c>
      <c r="I57" s="72">
        <v>101146</v>
      </c>
      <c r="J57" s="72">
        <v>249154</v>
      </c>
      <c r="K57" s="72">
        <v>62904</v>
      </c>
      <c r="L57" s="72">
        <v>362602</v>
      </c>
      <c r="M57" s="75">
        <f t="shared" si="24"/>
        <v>1582436</v>
      </c>
    </row>
    <row r="58" spans="2:13">
      <c r="B58" s="61">
        <v>6</v>
      </c>
      <c r="C58" s="14" t="s">
        <v>32</v>
      </c>
      <c r="D58" s="54">
        <v>292234</v>
      </c>
      <c r="E58" s="54">
        <v>13666</v>
      </c>
      <c r="F58" s="54">
        <v>81586</v>
      </c>
      <c r="G58" s="54">
        <v>67822</v>
      </c>
      <c r="H58" s="54">
        <v>60962</v>
      </c>
      <c r="I58" s="54">
        <v>70408</v>
      </c>
      <c r="J58" s="54">
        <v>182122</v>
      </c>
      <c r="K58" s="54">
        <v>41620</v>
      </c>
      <c r="L58" s="54">
        <v>261488</v>
      </c>
      <c r="M58" s="74">
        <f t="shared" si="24"/>
        <v>1071908</v>
      </c>
    </row>
    <row r="59" spans="2:13">
      <c r="B59" s="61">
        <v>7</v>
      </c>
      <c r="C59" s="15" t="s">
        <v>33</v>
      </c>
      <c r="D59" s="55">
        <v>266480</v>
      </c>
      <c r="E59" s="55">
        <v>12976</v>
      </c>
      <c r="F59" s="55">
        <v>92382</v>
      </c>
      <c r="G59" s="55">
        <v>58956</v>
      </c>
      <c r="H59" s="55">
        <v>56406</v>
      </c>
      <c r="I59" s="55">
        <v>78848</v>
      </c>
      <c r="J59" s="55">
        <v>166218</v>
      </c>
      <c r="K59" s="55">
        <v>40450</v>
      </c>
      <c r="L59" s="55">
        <v>254620</v>
      </c>
      <c r="M59" s="76">
        <f t="shared" si="24"/>
        <v>1027336</v>
      </c>
    </row>
    <row r="60" spans="2:13">
      <c r="B60" s="61">
        <v>8</v>
      </c>
      <c r="C60" s="13" t="s">
        <v>34</v>
      </c>
      <c r="D60" s="54">
        <v>241928</v>
      </c>
      <c r="E60" s="54">
        <v>47240</v>
      </c>
      <c r="F60" s="54">
        <v>56986</v>
      </c>
      <c r="G60" s="54">
        <v>53286</v>
      </c>
      <c r="H60" s="54">
        <v>56168</v>
      </c>
      <c r="I60" s="54">
        <v>60834</v>
      </c>
      <c r="J60" s="54">
        <v>156618</v>
      </c>
      <c r="K60" s="54">
        <v>34894</v>
      </c>
      <c r="L60" s="54">
        <v>218670</v>
      </c>
      <c r="M60" s="74">
        <f t="shared" si="24"/>
        <v>926624</v>
      </c>
    </row>
    <row r="61" spans="2:13">
      <c r="B61" s="61">
        <v>9</v>
      </c>
      <c r="C61" s="14" t="s">
        <v>35</v>
      </c>
      <c r="D61" s="54">
        <v>803332</v>
      </c>
      <c r="E61" s="54">
        <v>57238</v>
      </c>
      <c r="F61" s="54">
        <v>212930</v>
      </c>
      <c r="G61" s="54">
        <v>166862</v>
      </c>
      <c r="H61" s="54">
        <v>152798</v>
      </c>
      <c r="I61" s="54">
        <v>203288</v>
      </c>
      <c r="J61" s="54">
        <v>411500</v>
      </c>
      <c r="K61" s="54">
        <v>103226</v>
      </c>
      <c r="L61" s="54">
        <v>615250</v>
      </c>
      <c r="M61" s="74">
        <f t="shared" si="24"/>
        <v>2726424</v>
      </c>
    </row>
    <row r="62" spans="2:13">
      <c r="B62" s="61">
        <v>10</v>
      </c>
      <c r="C62" s="14" t="s">
        <v>36</v>
      </c>
      <c r="D62" s="54">
        <v>415690</v>
      </c>
      <c r="E62" s="54">
        <v>36406</v>
      </c>
      <c r="F62" s="54">
        <v>146292</v>
      </c>
      <c r="G62" s="54">
        <v>93832</v>
      </c>
      <c r="H62" s="54">
        <v>92912</v>
      </c>
      <c r="I62" s="54">
        <v>123854</v>
      </c>
      <c r="J62" s="54">
        <v>281970</v>
      </c>
      <c r="K62" s="54">
        <v>65822</v>
      </c>
      <c r="L62" s="54">
        <v>408978</v>
      </c>
      <c r="M62" s="74">
        <f t="shared" si="24"/>
        <v>1665756</v>
      </c>
    </row>
    <row r="63" spans="2:13">
      <c r="B63" s="61">
        <v>11</v>
      </c>
      <c r="C63" s="14" t="s">
        <v>37</v>
      </c>
      <c r="D63" s="54">
        <v>454170</v>
      </c>
      <c r="E63" s="54">
        <v>52424</v>
      </c>
      <c r="F63" s="54">
        <v>124324</v>
      </c>
      <c r="G63" s="54">
        <v>87882</v>
      </c>
      <c r="H63" s="54">
        <v>86820</v>
      </c>
      <c r="I63" s="54">
        <v>110746</v>
      </c>
      <c r="J63" s="54">
        <v>248486</v>
      </c>
      <c r="K63" s="54">
        <v>67850</v>
      </c>
      <c r="L63" s="54">
        <v>372252</v>
      </c>
      <c r="M63" s="74">
        <f t="shared" si="24"/>
        <v>1604954</v>
      </c>
    </row>
    <row r="64" spans="2:13">
      <c r="B64" s="61">
        <v>12</v>
      </c>
      <c r="C64" s="14" t="s">
        <v>38</v>
      </c>
      <c r="D64" s="54">
        <v>546644</v>
      </c>
      <c r="E64" s="54">
        <v>41356</v>
      </c>
      <c r="F64" s="54">
        <v>213616</v>
      </c>
      <c r="G64" s="54">
        <v>123364</v>
      </c>
      <c r="H64" s="54">
        <v>111572</v>
      </c>
      <c r="I64" s="54">
        <v>180144</v>
      </c>
      <c r="J64" s="54">
        <v>360166</v>
      </c>
      <c r="K64" s="54">
        <v>99230</v>
      </c>
      <c r="L64" s="54">
        <v>551458</v>
      </c>
      <c r="M64" s="74">
        <f t="shared" si="24"/>
        <v>2227550</v>
      </c>
    </row>
    <row r="65" spans="2:13">
      <c r="B65" s="61">
        <v>13</v>
      </c>
      <c r="C65" s="14" t="s">
        <v>39</v>
      </c>
      <c r="D65" s="54">
        <v>247704</v>
      </c>
      <c r="E65" s="54">
        <v>16608</v>
      </c>
      <c r="F65" s="54">
        <v>94878</v>
      </c>
      <c r="G65" s="54">
        <v>54498</v>
      </c>
      <c r="H65" s="54">
        <v>52018</v>
      </c>
      <c r="I65" s="54">
        <v>78502</v>
      </c>
      <c r="J65" s="54">
        <v>154868</v>
      </c>
      <c r="K65" s="54">
        <v>41590</v>
      </c>
      <c r="L65" s="54">
        <v>230584</v>
      </c>
      <c r="M65" s="74">
        <f t="shared" si="24"/>
        <v>971250</v>
      </c>
    </row>
    <row r="66" spans="2:13">
      <c r="B66" s="61">
        <v>14</v>
      </c>
      <c r="C66" s="15" t="s">
        <v>40</v>
      </c>
      <c r="D66" s="54">
        <v>115398</v>
      </c>
      <c r="E66" s="54">
        <v>7862</v>
      </c>
      <c r="F66" s="54">
        <v>55400</v>
      </c>
      <c r="G66" s="54">
        <v>24276</v>
      </c>
      <c r="H66" s="54">
        <v>23608</v>
      </c>
      <c r="I66" s="54">
        <v>41670</v>
      </c>
      <c r="J66" s="54">
        <v>71490</v>
      </c>
      <c r="K66" s="54">
        <v>20064</v>
      </c>
      <c r="L66" s="54">
        <v>114406</v>
      </c>
      <c r="M66" s="74">
        <f t="shared" si="24"/>
        <v>474174</v>
      </c>
    </row>
    <row r="67" spans="2:13">
      <c r="B67" s="61">
        <v>15</v>
      </c>
      <c r="C67" s="14" t="s">
        <v>41</v>
      </c>
      <c r="D67" s="72">
        <v>353206</v>
      </c>
      <c r="E67" s="72">
        <v>14094</v>
      </c>
      <c r="F67" s="72">
        <v>130626</v>
      </c>
      <c r="G67" s="72">
        <v>81572</v>
      </c>
      <c r="H67" s="72">
        <v>73658</v>
      </c>
      <c r="I67" s="72">
        <v>102574</v>
      </c>
      <c r="J67" s="72">
        <v>194718</v>
      </c>
      <c r="K67" s="72">
        <v>51600</v>
      </c>
      <c r="L67" s="72">
        <v>290564</v>
      </c>
      <c r="M67" s="75">
        <f t="shared" si="24"/>
        <v>1292612</v>
      </c>
    </row>
    <row r="68" spans="2:13">
      <c r="B68" s="61">
        <v>16</v>
      </c>
      <c r="C68" s="14" t="s">
        <v>42</v>
      </c>
      <c r="D68" s="54">
        <v>384114</v>
      </c>
      <c r="E68" s="54">
        <v>30490</v>
      </c>
      <c r="F68" s="54">
        <v>154514</v>
      </c>
      <c r="G68" s="54">
        <v>91812</v>
      </c>
      <c r="H68" s="54">
        <v>87224</v>
      </c>
      <c r="I68" s="54">
        <v>141444</v>
      </c>
      <c r="J68" s="54">
        <v>271268</v>
      </c>
      <c r="K68" s="54">
        <v>72602</v>
      </c>
      <c r="L68" s="54">
        <v>408662</v>
      </c>
      <c r="M68" s="74">
        <f t="shared" si="24"/>
        <v>1642130</v>
      </c>
    </row>
    <row r="69" spans="2:13">
      <c r="B69" s="61">
        <v>17</v>
      </c>
      <c r="C69" s="14" t="s">
        <v>43</v>
      </c>
      <c r="D69" s="54">
        <v>394224</v>
      </c>
      <c r="E69" s="54">
        <v>28882</v>
      </c>
      <c r="F69" s="54">
        <v>134344</v>
      </c>
      <c r="G69" s="54">
        <v>90148</v>
      </c>
      <c r="H69" s="54">
        <v>86884</v>
      </c>
      <c r="I69" s="54">
        <v>117758</v>
      </c>
      <c r="J69" s="54">
        <v>278658</v>
      </c>
      <c r="K69" s="54">
        <v>69934</v>
      </c>
      <c r="L69" s="54">
        <v>415404</v>
      </c>
      <c r="M69" s="74">
        <f t="shared" si="24"/>
        <v>1616236</v>
      </c>
    </row>
    <row r="70" spans="2:13">
      <c r="B70" s="61">
        <v>18</v>
      </c>
      <c r="C70" s="14" t="s">
        <v>44</v>
      </c>
      <c r="D70" s="54">
        <v>608666</v>
      </c>
      <c r="E70" s="54">
        <v>56536</v>
      </c>
      <c r="F70" s="54">
        <v>208208</v>
      </c>
      <c r="G70" s="54">
        <v>125260</v>
      </c>
      <c r="H70" s="54">
        <v>126972</v>
      </c>
      <c r="I70" s="54">
        <v>156258</v>
      </c>
      <c r="J70" s="54">
        <v>396388</v>
      </c>
      <c r="K70" s="54">
        <v>105142</v>
      </c>
      <c r="L70" s="54">
        <v>570920</v>
      </c>
      <c r="M70" s="74">
        <f t="shared" si="24"/>
        <v>2354350</v>
      </c>
    </row>
    <row r="71" spans="2:13">
      <c r="B71" s="61">
        <v>19</v>
      </c>
      <c r="C71" s="16" t="s">
        <v>45</v>
      </c>
      <c r="D71" s="55">
        <v>254348</v>
      </c>
      <c r="E71" s="55">
        <v>128760</v>
      </c>
      <c r="F71" s="55">
        <v>19506</v>
      </c>
      <c r="G71" s="55">
        <v>46680</v>
      </c>
      <c r="H71" s="55">
        <v>58092</v>
      </c>
      <c r="I71" s="55">
        <v>38684</v>
      </c>
      <c r="J71" s="55">
        <v>146420</v>
      </c>
      <c r="K71" s="55">
        <v>34536</v>
      </c>
      <c r="L71" s="55">
        <v>187136</v>
      </c>
      <c r="M71" s="76">
        <f t="shared" si="24"/>
        <v>914162</v>
      </c>
    </row>
    <row r="72" spans="2:13">
      <c r="B72" s="61">
        <v>20</v>
      </c>
      <c r="C72" s="14" t="s">
        <v>46</v>
      </c>
      <c r="D72" s="54">
        <v>290418</v>
      </c>
      <c r="E72" s="54">
        <v>18998</v>
      </c>
      <c r="F72" s="54">
        <v>104832</v>
      </c>
      <c r="G72" s="54">
        <v>65304</v>
      </c>
      <c r="H72" s="54">
        <v>63836</v>
      </c>
      <c r="I72" s="54">
        <v>84880</v>
      </c>
      <c r="J72" s="54">
        <v>202768</v>
      </c>
      <c r="K72" s="54">
        <v>49864</v>
      </c>
      <c r="L72" s="54">
        <v>294814</v>
      </c>
      <c r="M72" s="74">
        <f t="shared" si="24"/>
        <v>1175714</v>
      </c>
    </row>
    <row r="73" spans="2:13">
      <c r="B73" s="61">
        <v>21</v>
      </c>
      <c r="C73" s="14" t="s">
        <v>47</v>
      </c>
      <c r="D73" s="54">
        <v>340862</v>
      </c>
      <c r="E73" s="54">
        <v>15968</v>
      </c>
      <c r="F73" s="54">
        <v>109480</v>
      </c>
      <c r="G73" s="54">
        <v>80406</v>
      </c>
      <c r="H73" s="54">
        <v>68766</v>
      </c>
      <c r="I73" s="54">
        <v>90734</v>
      </c>
      <c r="J73" s="54">
        <v>209660</v>
      </c>
      <c r="K73" s="54">
        <v>49538</v>
      </c>
      <c r="L73" s="54">
        <v>302352</v>
      </c>
      <c r="M73" s="74">
        <f t="shared" si="24"/>
        <v>1267766</v>
      </c>
    </row>
    <row r="74" spans="2:13">
      <c r="B74" s="61">
        <v>22</v>
      </c>
      <c r="C74" s="14" t="s">
        <v>48</v>
      </c>
      <c r="D74" s="54">
        <v>186694</v>
      </c>
      <c r="E74" s="54">
        <v>10368</v>
      </c>
      <c r="F74" s="54">
        <v>47332</v>
      </c>
      <c r="G74" s="54">
        <v>46396</v>
      </c>
      <c r="H74" s="54">
        <v>41626</v>
      </c>
      <c r="I74" s="54">
        <v>46502</v>
      </c>
      <c r="J74" s="54">
        <v>136610</v>
      </c>
      <c r="K74" s="54">
        <v>31204</v>
      </c>
      <c r="L74" s="54">
        <v>192950</v>
      </c>
      <c r="M74" s="74">
        <f t="shared" si="24"/>
        <v>739682</v>
      </c>
    </row>
    <row r="75" spans="2:13">
      <c r="B75" s="61">
        <v>23</v>
      </c>
      <c r="C75" s="14" t="s">
        <v>49</v>
      </c>
      <c r="D75" s="54">
        <v>174660</v>
      </c>
      <c r="E75" s="54">
        <v>7504</v>
      </c>
      <c r="F75" s="54">
        <v>70248</v>
      </c>
      <c r="G75" s="54">
        <v>43780</v>
      </c>
      <c r="H75" s="54">
        <v>37372</v>
      </c>
      <c r="I75" s="54">
        <v>60184</v>
      </c>
      <c r="J75" s="54">
        <v>117240</v>
      </c>
      <c r="K75" s="54">
        <v>28128</v>
      </c>
      <c r="L75" s="54">
        <v>173866</v>
      </c>
      <c r="M75" s="74">
        <f t="shared" si="24"/>
        <v>712982</v>
      </c>
    </row>
    <row r="76" spans="2:13">
      <c r="B76" s="61">
        <v>24</v>
      </c>
      <c r="C76" s="16" t="s">
        <v>50</v>
      </c>
      <c r="D76" s="54">
        <v>346746</v>
      </c>
      <c r="E76" s="54">
        <v>21866</v>
      </c>
      <c r="F76" s="54">
        <v>161206</v>
      </c>
      <c r="G76" s="54">
        <v>83160</v>
      </c>
      <c r="H76" s="54">
        <v>73874</v>
      </c>
      <c r="I76" s="54">
        <v>126392</v>
      </c>
      <c r="J76" s="54">
        <v>246026</v>
      </c>
      <c r="K76" s="54">
        <v>60700</v>
      </c>
      <c r="L76" s="54">
        <v>364260</v>
      </c>
      <c r="M76" s="74">
        <f t="shared" si="24"/>
        <v>1484230</v>
      </c>
    </row>
    <row r="77" spans="2:13">
      <c r="B77" s="61">
        <v>25</v>
      </c>
      <c r="C77" s="14" t="s">
        <v>51</v>
      </c>
      <c r="D77" s="72">
        <v>141412</v>
      </c>
      <c r="E77" s="72">
        <v>8254</v>
      </c>
      <c r="F77" s="72">
        <v>50366</v>
      </c>
      <c r="G77" s="72">
        <v>33506</v>
      </c>
      <c r="H77" s="72">
        <v>28826</v>
      </c>
      <c r="I77" s="72">
        <v>41522</v>
      </c>
      <c r="J77" s="72">
        <v>94252</v>
      </c>
      <c r="K77" s="72">
        <v>22512</v>
      </c>
      <c r="L77" s="72">
        <v>133582</v>
      </c>
      <c r="M77" s="75">
        <f t="shared" si="24"/>
        <v>554232</v>
      </c>
    </row>
    <row r="78" spans="2:13">
      <c r="B78" s="61">
        <v>26</v>
      </c>
      <c r="C78" s="16" t="s">
        <v>52</v>
      </c>
      <c r="D78" s="55">
        <v>323830</v>
      </c>
      <c r="E78" s="55">
        <v>16468</v>
      </c>
      <c r="F78" s="55">
        <v>119012</v>
      </c>
      <c r="G78" s="55">
        <v>73162</v>
      </c>
      <c r="H78" s="55">
        <v>60766</v>
      </c>
      <c r="I78" s="55">
        <v>104522</v>
      </c>
      <c r="J78" s="55">
        <v>203372</v>
      </c>
      <c r="K78" s="55">
        <v>51132</v>
      </c>
      <c r="L78" s="55">
        <v>306018</v>
      </c>
      <c r="M78" s="76">
        <f t="shared" si="24"/>
        <v>1258282</v>
      </c>
    </row>
    <row r="79" spans="2:13">
      <c r="B79" s="61">
        <v>27</v>
      </c>
      <c r="C79" s="14" t="s">
        <v>53</v>
      </c>
      <c r="D79" s="54">
        <v>113102</v>
      </c>
      <c r="E79" s="54">
        <v>4414</v>
      </c>
      <c r="F79" s="54">
        <v>37238</v>
      </c>
      <c r="G79" s="54">
        <v>25098</v>
      </c>
      <c r="H79" s="54">
        <v>20230</v>
      </c>
      <c r="I79" s="54">
        <v>30824</v>
      </c>
      <c r="J79" s="54">
        <v>64744</v>
      </c>
      <c r="K79" s="54">
        <v>15814</v>
      </c>
      <c r="L79" s="54">
        <v>98548</v>
      </c>
      <c r="M79" s="74">
        <f t="shared" si="24"/>
        <v>410012</v>
      </c>
    </row>
    <row r="80" spans="2:13">
      <c r="B80" s="61">
        <v>28</v>
      </c>
      <c r="C80" s="16" t="s">
        <v>54</v>
      </c>
      <c r="D80" s="54">
        <v>38294</v>
      </c>
      <c r="E80" s="54">
        <v>2874</v>
      </c>
      <c r="F80" s="54">
        <v>9084</v>
      </c>
      <c r="G80" s="54">
        <v>8042</v>
      </c>
      <c r="H80" s="54">
        <v>6854</v>
      </c>
      <c r="I80" s="54">
        <v>8474</v>
      </c>
      <c r="J80" s="54">
        <v>24584</v>
      </c>
      <c r="K80" s="54">
        <v>5658</v>
      </c>
      <c r="L80" s="54">
        <v>32754</v>
      </c>
      <c r="M80" s="74">
        <f t="shared" si="24"/>
        <v>136618</v>
      </c>
    </row>
    <row r="81" spans="2:13">
      <c r="B81" s="61">
        <v>29</v>
      </c>
      <c r="C81" s="14" t="s">
        <v>55</v>
      </c>
      <c r="D81" s="72">
        <v>213844</v>
      </c>
      <c r="E81" s="72">
        <v>18330</v>
      </c>
      <c r="F81" s="72">
        <v>61724</v>
      </c>
      <c r="G81" s="72">
        <v>45018</v>
      </c>
      <c r="H81" s="72">
        <v>38510</v>
      </c>
      <c r="I81" s="72">
        <v>50976</v>
      </c>
      <c r="J81" s="72">
        <v>123704</v>
      </c>
      <c r="K81" s="72">
        <v>29894</v>
      </c>
      <c r="L81" s="72">
        <v>177682</v>
      </c>
      <c r="M81" s="75">
        <f t="shared" si="24"/>
        <v>759682</v>
      </c>
    </row>
    <row r="82" spans="2:13">
      <c r="B82" s="61">
        <v>30</v>
      </c>
      <c r="C82" s="14" t="s">
        <v>56</v>
      </c>
      <c r="D82" s="54">
        <v>240442</v>
      </c>
      <c r="E82" s="54">
        <v>12156</v>
      </c>
      <c r="F82" s="54">
        <v>77872</v>
      </c>
      <c r="G82" s="54">
        <v>50048</v>
      </c>
      <c r="H82" s="54">
        <v>46066</v>
      </c>
      <c r="I82" s="54">
        <v>67734</v>
      </c>
      <c r="J82" s="54">
        <v>153816</v>
      </c>
      <c r="K82" s="54">
        <v>37022</v>
      </c>
      <c r="L82" s="54">
        <v>222010</v>
      </c>
      <c r="M82" s="74">
        <f t="shared" si="24"/>
        <v>907166</v>
      </c>
    </row>
    <row r="83" spans="2:13">
      <c r="B83" s="61">
        <v>31</v>
      </c>
      <c r="C83" s="15" t="s">
        <v>57</v>
      </c>
      <c r="D83" s="55">
        <v>84138</v>
      </c>
      <c r="E83" s="55">
        <v>3166</v>
      </c>
      <c r="F83" s="55">
        <v>30628</v>
      </c>
      <c r="G83" s="55">
        <v>17664</v>
      </c>
      <c r="H83" s="55">
        <v>17240</v>
      </c>
      <c r="I83" s="55">
        <v>25912</v>
      </c>
      <c r="J83" s="55">
        <v>61190</v>
      </c>
      <c r="K83" s="55">
        <v>14388</v>
      </c>
      <c r="L83" s="55">
        <v>86462</v>
      </c>
      <c r="M83" s="76">
        <f t="shared" si="24"/>
        <v>340788</v>
      </c>
    </row>
    <row r="84" spans="2:13">
      <c r="B84" s="61">
        <v>32</v>
      </c>
      <c r="C84" s="14" t="s">
        <v>58</v>
      </c>
      <c r="D84" s="54">
        <v>71112</v>
      </c>
      <c r="E84" s="54">
        <v>2574</v>
      </c>
      <c r="F84" s="54">
        <v>20934</v>
      </c>
      <c r="G84" s="54">
        <v>14048</v>
      </c>
      <c r="H84" s="54">
        <v>14912</v>
      </c>
      <c r="I84" s="54">
        <v>18502</v>
      </c>
      <c r="J84" s="54">
        <v>47142</v>
      </c>
      <c r="K84" s="54">
        <v>10864</v>
      </c>
      <c r="L84" s="54">
        <v>64466</v>
      </c>
      <c r="M84" s="74">
        <f t="shared" si="24"/>
        <v>264554</v>
      </c>
    </row>
    <row r="85" spans="2:13">
      <c r="B85" s="61">
        <v>33</v>
      </c>
      <c r="C85" s="14" t="s">
        <v>59</v>
      </c>
      <c r="D85" s="54">
        <v>156396</v>
      </c>
      <c r="E85" s="54">
        <v>8734</v>
      </c>
      <c r="F85" s="54">
        <v>43844</v>
      </c>
      <c r="G85" s="54">
        <v>32230</v>
      </c>
      <c r="H85" s="54">
        <v>32678</v>
      </c>
      <c r="I85" s="54">
        <v>39918</v>
      </c>
      <c r="J85" s="54">
        <v>102236</v>
      </c>
      <c r="K85" s="54">
        <v>23166</v>
      </c>
      <c r="L85" s="54">
        <v>146568</v>
      </c>
      <c r="M85" s="74">
        <f t="shared" si="24"/>
        <v>585770</v>
      </c>
    </row>
    <row r="86" spans="2:13">
      <c r="B86" s="61">
        <v>34</v>
      </c>
      <c r="C86" s="14" t="s">
        <v>60</v>
      </c>
      <c r="D86" s="54">
        <v>103642</v>
      </c>
      <c r="E86" s="54">
        <v>5956</v>
      </c>
      <c r="F86" s="54">
        <v>27432</v>
      </c>
      <c r="G86" s="54">
        <v>23084</v>
      </c>
      <c r="H86" s="54">
        <v>22996</v>
      </c>
      <c r="I86" s="54">
        <v>28068</v>
      </c>
      <c r="J86" s="54">
        <v>77858</v>
      </c>
      <c r="K86" s="54">
        <v>16476</v>
      </c>
      <c r="L86" s="54">
        <v>103682</v>
      </c>
      <c r="M86" s="74">
        <f t="shared" si="24"/>
        <v>409194</v>
      </c>
    </row>
    <row r="87" spans="2:13">
      <c r="C87" s="77" t="s">
        <v>26</v>
      </c>
      <c r="D87" s="57">
        <f>SUM(D56:D86)</f>
        <v>10108128</v>
      </c>
      <c r="E87" s="57">
        <f t="shared" ref="E87:L87" si="25">SUM(E56:E86)</f>
        <v>871960</v>
      </c>
      <c r="F87" s="57">
        <f t="shared" si="25"/>
        <v>3032168</v>
      </c>
      <c r="G87" s="57">
        <f t="shared" si="25"/>
        <v>2221556</v>
      </c>
      <c r="H87" s="57">
        <f t="shared" si="25"/>
        <v>2050680</v>
      </c>
      <c r="I87" s="57">
        <f t="shared" si="25"/>
        <v>2637464</v>
      </c>
      <c r="J87" s="57">
        <f t="shared" si="25"/>
        <v>6109302</v>
      </c>
      <c r="K87" s="57">
        <f t="shared" si="25"/>
        <v>1526204</v>
      </c>
      <c r="L87" s="57">
        <f t="shared" si="25"/>
        <v>8895936</v>
      </c>
      <c r="M87" s="78">
        <f t="shared" si="24"/>
        <v>37453398</v>
      </c>
    </row>
    <row r="90" spans="2:13">
      <c r="C90" s="125" t="s">
        <v>101</v>
      </c>
    </row>
    <row r="91" spans="2:13" ht="16.5" thickBot="1">
      <c r="C91" s="59" t="s">
        <v>28</v>
      </c>
      <c r="D91" s="59" t="s">
        <v>110</v>
      </c>
      <c r="E91" s="59" t="s">
        <v>111</v>
      </c>
      <c r="F91" s="59" t="s">
        <v>112</v>
      </c>
      <c r="G91" s="59" t="s">
        <v>113</v>
      </c>
      <c r="H91" s="59" t="s">
        <v>114</v>
      </c>
      <c r="I91" s="59" t="s">
        <v>115</v>
      </c>
      <c r="J91" s="59" t="s">
        <v>116</v>
      </c>
      <c r="K91" s="59" t="s">
        <v>117</v>
      </c>
      <c r="L91" s="59" t="s">
        <v>118</v>
      </c>
      <c r="M91" s="73" t="s">
        <v>119</v>
      </c>
    </row>
    <row r="92" spans="2:13" ht="16.5" thickTop="1">
      <c r="C92" s="14" t="s">
        <v>30</v>
      </c>
      <c r="D92" s="54">
        <v>1779813.333333333</v>
      </c>
      <c r="E92" s="54">
        <v>115393.3333333333</v>
      </c>
      <c r="F92" s="54">
        <v>328546.66666666669</v>
      </c>
      <c r="G92" s="54">
        <v>464900</v>
      </c>
      <c r="H92" s="54">
        <v>242053.33333333331</v>
      </c>
      <c r="I92" s="54">
        <v>243380</v>
      </c>
      <c r="J92" s="54">
        <v>643160</v>
      </c>
      <c r="K92" s="54">
        <v>150060</v>
      </c>
      <c r="L92" s="54">
        <v>875753.33333333337</v>
      </c>
      <c r="M92" s="74">
        <v>4843060</v>
      </c>
    </row>
    <row r="93" spans="2:13">
      <c r="C93" s="13" t="s">
        <v>31</v>
      </c>
      <c r="D93" s="72">
        <v>428413.33333333337</v>
      </c>
      <c r="E93" s="72">
        <v>18813.333333333339</v>
      </c>
      <c r="F93" s="72">
        <v>148093.33333333331</v>
      </c>
      <c r="G93" s="72">
        <v>77806.666666666672</v>
      </c>
      <c r="H93" s="72">
        <v>65540</v>
      </c>
      <c r="I93" s="72">
        <v>101260</v>
      </c>
      <c r="J93" s="72">
        <v>208280</v>
      </c>
      <c r="K93" s="72">
        <v>43053.333333333343</v>
      </c>
      <c r="L93" s="72">
        <v>254100</v>
      </c>
      <c r="M93" s="75">
        <v>1345360</v>
      </c>
    </row>
    <row r="94" spans="2:13">
      <c r="C94" s="14" t="s">
        <v>32</v>
      </c>
      <c r="D94" s="54">
        <v>283466.66666666669</v>
      </c>
      <c r="E94" s="54">
        <v>12720</v>
      </c>
      <c r="F94" s="54">
        <v>99920</v>
      </c>
      <c r="G94" s="54">
        <v>56340</v>
      </c>
      <c r="H94" s="54">
        <v>47893.333333333343</v>
      </c>
      <c r="I94" s="54">
        <v>72366.666666666672</v>
      </c>
      <c r="J94" s="54">
        <v>155360</v>
      </c>
      <c r="K94" s="54">
        <v>30106.666666666672</v>
      </c>
      <c r="L94" s="54">
        <v>189506.66666666669</v>
      </c>
      <c r="M94" s="74">
        <v>947680</v>
      </c>
    </row>
    <row r="95" spans="2:13">
      <c r="C95" s="15" t="s">
        <v>33</v>
      </c>
      <c r="D95" s="55">
        <v>326513.33333333337</v>
      </c>
      <c r="E95" s="55">
        <v>11006.66666666667</v>
      </c>
      <c r="F95" s="55">
        <v>109453.3333333333</v>
      </c>
      <c r="G95" s="55">
        <v>79413.333333333343</v>
      </c>
      <c r="H95" s="55">
        <v>41340</v>
      </c>
      <c r="I95" s="55">
        <v>75866.666666666672</v>
      </c>
      <c r="J95" s="55">
        <v>125466.6666666667</v>
      </c>
      <c r="K95" s="55">
        <v>27526.666666666672</v>
      </c>
      <c r="L95" s="55">
        <v>175713.33333333331</v>
      </c>
      <c r="M95" s="76">
        <v>972300.00000000012</v>
      </c>
    </row>
    <row r="96" spans="2:13">
      <c r="C96" s="13" t="s">
        <v>34</v>
      </c>
      <c r="D96" s="54">
        <v>333853.33333333337</v>
      </c>
      <c r="E96" s="54">
        <v>44173.333333333343</v>
      </c>
      <c r="F96" s="54">
        <v>89426.666666666672</v>
      </c>
      <c r="G96" s="54">
        <v>104206.6666666667</v>
      </c>
      <c r="H96" s="54">
        <v>53653.333333333343</v>
      </c>
      <c r="I96" s="54">
        <v>72146.666666666672</v>
      </c>
      <c r="J96" s="54">
        <v>151640</v>
      </c>
      <c r="K96" s="54">
        <v>32726.666666666672</v>
      </c>
      <c r="L96" s="54">
        <v>196633.33333333331</v>
      </c>
      <c r="M96" s="74">
        <v>1078460</v>
      </c>
    </row>
    <row r="97" spans="3:13">
      <c r="C97" s="14" t="s">
        <v>35</v>
      </c>
      <c r="D97" s="54">
        <v>1036313.333333333</v>
      </c>
      <c r="E97" s="54">
        <v>34273.333333333343</v>
      </c>
      <c r="F97" s="54">
        <v>246566.66666666669</v>
      </c>
      <c r="G97" s="54">
        <v>269013.33333333337</v>
      </c>
      <c r="H97" s="54">
        <v>140066.66666666669</v>
      </c>
      <c r="I97" s="54">
        <v>205113.33333333331</v>
      </c>
      <c r="J97" s="54">
        <v>373080</v>
      </c>
      <c r="K97" s="54">
        <v>88240</v>
      </c>
      <c r="L97" s="54">
        <v>542100</v>
      </c>
      <c r="M97" s="74">
        <v>2934766.666666667</v>
      </c>
    </row>
    <row r="98" spans="3:13">
      <c r="C98" s="14" t="s">
        <v>36</v>
      </c>
      <c r="D98" s="54">
        <v>423060</v>
      </c>
      <c r="E98" s="54">
        <v>35493.333333333343</v>
      </c>
      <c r="F98" s="54">
        <v>182426.66666666669</v>
      </c>
      <c r="G98" s="54">
        <v>91986.666666666672</v>
      </c>
      <c r="H98" s="54">
        <v>79860</v>
      </c>
      <c r="I98" s="54">
        <v>135020</v>
      </c>
      <c r="J98" s="54">
        <v>243333.33333333331</v>
      </c>
      <c r="K98" s="54">
        <v>52353.333333333343</v>
      </c>
      <c r="L98" s="54">
        <v>321893.33333333337</v>
      </c>
      <c r="M98" s="74">
        <v>1565426.666666667</v>
      </c>
    </row>
    <row r="99" spans="3:13">
      <c r="C99" s="14" t="s">
        <v>37</v>
      </c>
      <c r="D99" s="54">
        <v>515333.33333333337</v>
      </c>
      <c r="E99" s="54">
        <v>69526.666666666672</v>
      </c>
      <c r="F99" s="54">
        <v>175333.33333333331</v>
      </c>
      <c r="G99" s="54">
        <v>115606.6666666667</v>
      </c>
      <c r="H99" s="54">
        <v>85626.666666666672</v>
      </c>
      <c r="I99" s="54">
        <v>132360</v>
      </c>
      <c r="J99" s="54">
        <v>234480</v>
      </c>
      <c r="K99" s="54">
        <v>61566.666666666672</v>
      </c>
      <c r="L99" s="54">
        <v>345926.66666666669</v>
      </c>
      <c r="M99" s="74">
        <v>1735760</v>
      </c>
    </row>
    <row r="100" spans="3:13">
      <c r="C100" s="14" t="s">
        <v>38</v>
      </c>
      <c r="D100" s="54">
        <v>443906.66666666669</v>
      </c>
      <c r="E100" s="54">
        <v>27660</v>
      </c>
      <c r="F100" s="54">
        <v>268780</v>
      </c>
      <c r="G100" s="54">
        <v>70140</v>
      </c>
      <c r="H100" s="54">
        <v>79280</v>
      </c>
      <c r="I100" s="54">
        <v>197620</v>
      </c>
      <c r="J100" s="54">
        <v>263040</v>
      </c>
      <c r="K100" s="54">
        <v>58253.333333333343</v>
      </c>
      <c r="L100" s="54">
        <v>336520</v>
      </c>
      <c r="M100" s="74">
        <v>1745200</v>
      </c>
    </row>
    <row r="101" spans="3:13">
      <c r="C101" s="14" t="s">
        <v>39</v>
      </c>
      <c r="D101" s="54">
        <v>201366.66666666669</v>
      </c>
      <c r="E101" s="54">
        <v>7626.666666666667</v>
      </c>
      <c r="F101" s="54">
        <v>117653.3333333333</v>
      </c>
      <c r="G101" s="54">
        <v>32146.666666666672</v>
      </c>
      <c r="H101" s="54">
        <v>38000</v>
      </c>
      <c r="I101" s="54">
        <v>80466.666666666672</v>
      </c>
      <c r="J101" s="54">
        <v>121026.6666666667</v>
      </c>
      <c r="K101" s="54">
        <v>27253.333333333339</v>
      </c>
      <c r="L101" s="54">
        <v>152360</v>
      </c>
      <c r="M101" s="74">
        <v>777900</v>
      </c>
    </row>
    <row r="102" spans="3:13">
      <c r="C102" s="15" t="s">
        <v>40</v>
      </c>
      <c r="D102" s="54">
        <v>120313.3333333333</v>
      </c>
      <c r="E102" s="54">
        <v>6973.3333333333339</v>
      </c>
      <c r="F102" s="54">
        <v>66940</v>
      </c>
      <c r="G102" s="54">
        <v>24320</v>
      </c>
      <c r="H102" s="54">
        <v>16633.333333333339</v>
      </c>
      <c r="I102" s="54">
        <v>45920</v>
      </c>
      <c r="J102" s="54">
        <v>55280</v>
      </c>
      <c r="K102" s="54">
        <v>13093.33333333333</v>
      </c>
      <c r="L102" s="54">
        <v>74246.666666666672</v>
      </c>
      <c r="M102" s="74">
        <v>423720.00000000012</v>
      </c>
    </row>
    <row r="103" spans="3:13">
      <c r="C103" s="14" t="s">
        <v>41</v>
      </c>
      <c r="D103" s="72">
        <v>346540</v>
      </c>
      <c r="E103" s="72">
        <v>17373.333333333339</v>
      </c>
      <c r="F103" s="72">
        <v>174946.66666666669</v>
      </c>
      <c r="G103" s="72">
        <v>70820</v>
      </c>
      <c r="H103" s="72">
        <v>62286.666666666672</v>
      </c>
      <c r="I103" s="72">
        <v>130446.6666666667</v>
      </c>
      <c r="J103" s="72">
        <v>191346.66666666669</v>
      </c>
      <c r="K103" s="72">
        <v>41473.333333333343</v>
      </c>
      <c r="L103" s="72">
        <v>242053.33333333331</v>
      </c>
      <c r="M103" s="75">
        <v>1277286.666666667</v>
      </c>
    </row>
    <row r="104" spans="3:13">
      <c r="C104" s="14" t="s">
        <v>42</v>
      </c>
      <c r="D104" s="54">
        <v>410546.66666666669</v>
      </c>
      <c r="E104" s="54">
        <v>26080</v>
      </c>
      <c r="F104" s="54">
        <v>182800</v>
      </c>
      <c r="G104" s="54">
        <v>92866.666666666672</v>
      </c>
      <c r="H104" s="54">
        <v>63466.666666666672</v>
      </c>
      <c r="I104" s="54">
        <v>138793.33333333331</v>
      </c>
      <c r="J104" s="54">
        <v>196606.66666666669</v>
      </c>
      <c r="K104" s="54">
        <v>48240</v>
      </c>
      <c r="L104" s="54">
        <v>258760</v>
      </c>
      <c r="M104" s="74">
        <v>1418160</v>
      </c>
    </row>
    <row r="105" spans="3:13">
      <c r="C105" s="14" t="s">
        <v>43</v>
      </c>
      <c r="D105" s="54">
        <v>484666.66666666669</v>
      </c>
      <c r="E105" s="54">
        <v>38266.666666666672</v>
      </c>
      <c r="F105" s="54">
        <v>170100</v>
      </c>
      <c r="G105" s="54">
        <v>123453.3333333333</v>
      </c>
      <c r="H105" s="54">
        <v>70840</v>
      </c>
      <c r="I105" s="54">
        <v>125446.6666666667</v>
      </c>
      <c r="J105" s="54">
        <v>224046.66666666669</v>
      </c>
      <c r="K105" s="54">
        <v>52293.333333333343</v>
      </c>
      <c r="L105" s="54">
        <v>293666.66666666669</v>
      </c>
      <c r="M105" s="74">
        <v>1582780</v>
      </c>
    </row>
    <row r="106" spans="3:13">
      <c r="C106" s="14" t="s">
        <v>44</v>
      </c>
      <c r="D106" s="54">
        <v>683880</v>
      </c>
      <c r="E106" s="54">
        <v>43240</v>
      </c>
      <c r="F106" s="54">
        <v>263006.66666666669</v>
      </c>
      <c r="G106" s="54">
        <v>146726.66666666669</v>
      </c>
      <c r="H106" s="54">
        <v>105753.3333333333</v>
      </c>
      <c r="I106" s="54">
        <v>173993.33333333331</v>
      </c>
      <c r="J106" s="54">
        <v>287860</v>
      </c>
      <c r="K106" s="54">
        <v>82700</v>
      </c>
      <c r="L106" s="54">
        <v>442633.33333333337</v>
      </c>
      <c r="M106" s="74">
        <v>2229793.333333333</v>
      </c>
    </row>
    <row r="107" spans="3:13">
      <c r="C107" s="16" t="s">
        <v>45</v>
      </c>
      <c r="D107" s="55">
        <v>302186.66666666669</v>
      </c>
      <c r="E107" s="55">
        <v>79180</v>
      </c>
      <c r="F107" s="55">
        <v>61713.333333333343</v>
      </c>
      <c r="G107" s="55">
        <v>72873.333333333343</v>
      </c>
      <c r="H107" s="55">
        <v>55046.666666666672</v>
      </c>
      <c r="I107" s="55">
        <v>53440</v>
      </c>
      <c r="J107" s="55">
        <v>161920</v>
      </c>
      <c r="K107" s="55">
        <v>35266.666666666672</v>
      </c>
      <c r="L107" s="55">
        <v>185006.66666666669</v>
      </c>
      <c r="M107" s="76">
        <v>1006633.333333333</v>
      </c>
    </row>
    <row r="108" spans="3:13">
      <c r="C108" s="14" t="s">
        <v>46</v>
      </c>
      <c r="D108" s="54">
        <v>283906.66666666669</v>
      </c>
      <c r="E108" s="54">
        <v>15093.33333333333</v>
      </c>
      <c r="F108" s="54">
        <v>111660</v>
      </c>
      <c r="G108" s="54">
        <v>58426.666666666672</v>
      </c>
      <c r="H108" s="54">
        <v>46466.666666666672</v>
      </c>
      <c r="I108" s="54">
        <v>85506.666666666672</v>
      </c>
      <c r="J108" s="54">
        <v>155726.66666666669</v>
      </c>
      <c r="K108" s="54">
        <v>35420</v>
      </c>
      <c r="L108" s="54">
        <v>198806.66666666669</v>
      </c>
      <c r="M108" s="74">
        <v>991013.33333333349</v>
      </c>
    </row>
    <row r="109" spans="3:13">
      <c r="C109" s="14" t="s">
        <v>47</v>
      </c>
      <c r="D109" s="54">
        <v>374406.66666666669</v>
      </c>
      <c r="E109" s="54">
        <v>25026.666666666672</v>
      </c>
      <c r="F109" s="54">
        <v>126840</v>
      </c>
      <c r="G109" s="54">
        <v>95140</v>
      </c>
      <c r="H109" s="54">
        <v>60113.333333333343</v>
      </c>
      <c r="I109" s="54">
        <v>99020</v>
      </c>
      <c r="J109" s="54">
        <v>185693.33333333331</v>
      </c>
      <c r="K109" s="54">
        <v>46426.666666666672</v>
      </c>
      <c r="L109" s="54">
        <v>266280</v>
      </c>
      <c r="M109" s="74">
        <v>1278946.666666667</v>
      </c>
    </row>
    <row r="110" spans="3:13">
      <c r="C110" s="14" t="s">
        <v>48</v>
      </c>
      <c r="D110" s="54">
        <v>190266.66666666669</v>
      </c>
      <c r="E110" s="54">
        <v>10953.33333333333</v>
      </c>
      <c r="F110" s="54">
        <v>59806.666666666672</v>
      </c>
      <c r="G110" s="54">
        <v>34833.333333333343</v>
      </c>
      <c r="H110" s="54">
        <v>34200</v>
      </c>
      <c r="I110" s="54">
        <v>46433.333333333343</v>
      </c>
      <c r="J110" s="54">
        <v>118233.3333333333</v>
      </c>
      <c r="K110" s="54">
        <v>22253.333333333339</v>
      </c>
      <c r="L110" s="54">
        <v>133140</v>
      </c>
      <c r="M110" s="74">
        <v>650120</v>
      </c>
    </row>
    <row r="111" spans="3:13">
      <c r="C111" s="14" t="s">
        <v>49</v>
      </c>
      <c r="D111" s="54">
        <v>142540</v>
      </c>
      <c r="E111" s="54">
        <v>5446.666666666667</v>
      </c>
      <c r="F111" s="54">
        <v>78600</v>
      </c>
      <c r="G111" s="54">
        <v>29593.333333333339</v>
      </c>
      <c r="H111" s="54">
        <v>33386.666666666672</v>
      </c>
      <c r="I111" s="54">
        <v>65326.666666666672</v>
      </c>
      <c r="J111" s="54">
        <v>114360</v>
      </c>
      <c r="K111" s="54">
        <v>21140</v>
      </c>
      <c r="L111" s="54">
        <v>144726.66666666669</v>
      </c>
      <c r="M111" s="74">
        <v>635120</v>
      </c>
    </row>
    <row r="112" spans="3:13">
      <c r="C112" s="16" t="s">
        <v>50</v>
      </c>
      <c r="D112" s="54">
        <v>277960</v>
      </c>
      <c r="E112" s="54">
        <v>16033.33333333333</v>
      </c>
      <c r="F112" s="54">
        <v>186113.33333333331</v>
      </c>
      <c r="G112" s="54">
        <v>33166.666666666672</v>
      </c>
      <c r="H112" s="54">
        <v>52240</v>
      </c>
      <c r="I112" s="54">
        <v>121093.3333333333</v>
      </c>
      <c r="J112" s="54">
        <v>173066.66666666669</v>
      </c>
      <c r="K112" s="54">
        <v>38766.666666666672</v>
      </c>
      <c r="L112" s="54">
        <v>221166.66666666669</v>
      </c>
      <c r="M112" s="74">
        <v>1119606.666666667</v>
      </c>
    </row>
    <row r="113" spans="3:13">
      <c r="C113" s="14" t="s">
        <v>51</v>
      </c>
      <c r="D113" s="72">
        <v>152886.66666666669</v>
      </c>
      <c r="E113" s="72">
        <v>6493.3333333333339</v>
      </c>
      <c r="F113" s="72">
        <v>63773.333333333343</v>
      </c>
      <c r="G113" s="72">
        <v>31306.666666666672</v>
      </c>
      <c r="H113" s="72">
        <v>21906.666666666672</v>
      </c>
      <c r="I113" s="72">
        <v>43960</v>
      </c>
      <c r="J113" s="72">
        <v>73966.666666666672</v>
      </c>
      <c r="K113" s="72">
        <v>15993.33333333333</v>
      </c>
      <c r="L113" s="72">
        <v>97873.333333333343</v>
      </c>
      <c r="M113" s="75">
        <v>508160.00000000012</v>
      </c>
    </row>
    <row r="114" spans="3:13">
      <c r="C114" s="16" t="s">
        <v>52</v>
      </c>
      <c r="D114" s="55">
        <v>349333.33333333337</v>
      </c>
      <c r="E114" s="55">
        <v>19486.666666666672</v>
      </c>
      <c r="F114" s="55">
        <v>149866.66666666669</v>
      </c>
      <c r="G114" s="55">
        <v>67166.666666666672</v>
      </c>
      <c r="H114" s="55">
        <v>49586.666666666672</v>
      </c>
      <c r="I114" s="55">
        <v>100713.3333333333</v>
      </c>
      <c r="J114" s="55">
        <v>163800</v>
      </c>
      <c r="K114" s="55">
        <v>37333.333333333343</v>
      </c>
      <c r="L114" s="55">
        <v>212646.66666666669</v>
      </c>
      <c r="M114" s="76">
        <v>1149933.333333333</v>
      </c>
    </row>
    <row r="115" spans="3:13">
      <c r="C115" s="14" t="s">
        <v>53</v>
      </c>
      <c r="D115" s="54">
        <v>130193.3333333333</v>
      </c>
      <c r="E115" s="54">
        <v>4960</v>
      </c>
      <c r="F115" s="54">
        <v>43060</v>
      </c>
      <c r="G115" s="54">
        <v>30726.666666666672</v>
      </c>
      <c r="H115" s="54">
        <v>16666.666666666672</v>
      </c>
      <c r="I115" s="54">
        <v>28440</v>
      </c>
      <c r="J115" s="54">
        <v>52026.666666666672</v>
      </c>
      <c r="K115" s="54">
        <v>10873.33333333333</v>
      </c>
      <c r="L115" s="54">
        <v>69233.333333333343</v>
      </c>
      <c r="M115" s="74">
        <v>386180</v>
      </c>
    </row>
    <row r="116" spans="3:13">
      <c r="C116" s="16" t="s">
        <v>54</v>
      </c>
      <c r="D116" s="54">
        <v>38920</v>
      </c>
      <c r="E116" s="54">
        <v>3220</v>
      </c>
      <c r="F116" s="54">
        <v>10546.66666666667</v>
      </c>
      <c r="G116" s="54">
        <v>6713.3333333333339</v>
      </c>
      <c r="H116" s="54">
        <v>5386.666666666667</v>
      </c>
      <c r="I116" s="54">
        <v>8700</v>
      </c>
      <c r="J116" s="54">
        <v>17173.333333333339</v>
      </c>
      <c r="K116" s="54">
        <v>4066.666666666667</v>
      </c>
      <c r="L116" s="54">
        <v>22166.666666666672</v>
      </c>
      <c r="M116" s="74">
        <v>116893.3333333333</v>
      </c>
    </row>
    <row r="117" spans="3:13">
      <c r="C117" s="14" t="s">
        <v>55</v>
      </c>
      <c r="D117" s="72">
        <v>200733.33333333331</v>
      </c>
      <c r="E117" s="72">
        <v>15206.66666666667</v>
      </c>
      <c r="F117" s="72">
        <v>76106.666666666672</v>
      </c>
      <c r="G117" s="72">
        <v>34420</v>
      </c>
      <c r="H117" s="72">
        <v>32846.666666666672</v>
      </c>
      <c r="I117" s="72">
        <v>55300</v>
      </c>
      <c r="J117" s="72">
        <v>105886.6666666667</v>
      </c>
      <c r="K117" s="72">
        <v>20986.666666666672</v>
      </c>
      <c r="L117" s="72">
        <v>137053.33333333331</v>
      </c>
      <c r="M117" s="75">
        <v>678540.00000000012</v>
      </c>
    </row>
    <row r="118" spans="3:13">
      <c r="C118" s="14" t="s">
        <v>56</v>
      </c>
      <c r="D118" s="54">
        <v>291333.33333333337</v>
      </c>
      <c r="E118" s="54">
        <v>18160</v>
      </c>
      <c r="F118" s="54">
        <v>96053.333333333343</v>
      </c>
      <c r="G118" s="54">
        <v>65040</v>
      </c>
      <c r="H118" s="54">
        <v>42560</v>
      </c>
      <c r="I118" s="54">
        <v>74560</v>
      </c>
      <c r="J118" s="54">
        <v>144360</v>
      </c>
      <c r="K118" s="54">
        <v>31186.666666666672</v>
      </c>
      <c r="L118" s="54">
        <v>192813.33333333331</v>
      </c>
      <c r="M118" s="74">
        <v>956066.66666666674</v>
      </c>
    </row>
    <row r="119" spans="3:13">
      <c r="C119" s="15" t="s">
        <v>57</v>
      </c>
      <c r="D119" s="55">
        <v>88280</v>
      </c>
      <c r="E119" s="55">
        <v>1946.666666666667</v>
      </c>
      <c r="F119" s="55">
        <v>37006.666666666672</v>
      </c>
      <c r="G119" s="55">
        <v>15420</v>
      </c>
      <c r="H119" s="55">
        <v>12300</v>
      </c>
      <c r="I119" s="55">
        <v>24573.333333333339</v>
      </c>
      <c r="J119" s="55">
        <v>39660</v>
      </c>
      <c r="K119" s="55">
        <v>9220</v>
      </c>
      <c r="L119" s="55">
        <v>53526.666666666672</v>
      </c>
      <c r="M119" s="76">
        <v>281933.33333333337</v>
      </c>
    </row>
    <row r="120" spans="3:13">
      <c r="C120" s="14" t="s">
        <v>58</v>
      </c>
      <c r="D120" s="54">
        <v>69700</v>
      </c>
      <c r="E120" s="54">
        <v>1506.666666666667</v>
      </c>
      <c r="F120" s="54">
        <v>24700</v>
      </c>
      <c r="G120" s="54">
        <v>14400</v>
      </c>
      <c r="H120" s="54">
        <v>10406.66666666667</v>
      </c>
      <c r="I120" s="54">
        <v>16566.666666666672</v>
      </c>
      <c r="J120" s="54">
        <v>36020</v>
      </c>
      <c r="K120" s="54">
        <v>7513.3333333333339</v>
      </c>
      <c r="L120" s="54">
        <v>42620</v>
      </c>
      <c r="M120" s="74">
        <v>223433.33333333331</v>
      </c>
    </row>
    <row r="121" spans="3:13">
      <c r="C121" s="14" t="s">
        <v>59</v>
      </c>
      <c r="D121" s="54">
        <v>138453.33333333331</v>
      </c>
      <c r="E121" s="54">
        <v>6860</v>
      </c>
      <c r="F121" s="54">
        <v>57413.333333333343</v>
      </c>
      <c r="G121" s="54">
        <v>23600</v>
      </c>
      <c r="H121" s="54">
        <v>24706.666666666672</v>
      </c>
      <c r="I121" s="54">
        <v>41433.333333333343</v>
      </c>
      <c r="J121" s="54">
        <v>81220</v>
      </c>
      <c r="K121" s="54">
        <v>15693.33333333333</v>
      </c>
      <c r="L121" s="54">
        <v>103933.3333333333</v>
      </c>
      <c r="M121" s="74">
        <v>493313.33333333337</v>
      </c>
    </row>
    <row r="122" spans="3:13">
      <c r="C122" s="14" t="s">
        <v>60</v>
      </c>
      <c r="D122" s="54">
        <v>107693.3333333333</v>
      </c>
      <c r="E122" s="54">
        <v>5633.3333333333339</v>
      </c>
      <c r="F122" s="54">
        <v>35200</v>
      </c>
      <c r="G122" s="54">
        <v>18733.333333333339</v>
      </c>
      <c r="H122" s="54">
        <v>18980</v>
      </c>
      <c r="I122" s="54">
        <v>30426.666666666672</v>
      </c>
      <c r="J122" s="54">
        <v>62940</v>
      </c>
      <c r="K122" s="54">
        <v>13406.66666666667</v>
      </c>
      <c r="L122" s="54">
        <v>78660</v>
      </c>
      <c r="M122" s="74">
        <v>371673.33333333337</v>
      </c>
    </row>
    <row r="123" spans="3:13">
      <c r="C123" s="77" t="s">
        <v>26</v>
      </c>
      <c r="D123" s="57">
        <f>SUM(D92:D122)</f>
        <v>10956780.000000002</v>
      </c>
      <c r="E123" s="57">
        <f t="shared" ref="E123:L123" si="26">SUM(E92:E122)</f>
        <v>743826.66666666663</v>
      </c>
      <c r="F123" s="57">
        <f t="shared" si="26"/>
        <v>3842453.333333333</v>
      </c>
      <c r="G123" s="57">
        <f t="shared" si="26"/>
        <v>2451306.6666666665</v>
      </c>
      <c r="H123" s="57">
        <f t="shared" si="26"/>
        <v>1709093.333333334</v>
      </c>
      <c r="I123" s="57">
        <f t="shared" si="26"/>
        <v>2825693.333333334</v>
      </c>
      <c r="J123" s="57">
        <f t="shared" si="26"/>
        <v>5160060.0000000009</v>
      </c>
      <c r="K123" s="57">
        <f t="shared" si="26"/>
        <v>1174486.666666667</v>
      </c>
      <c r="L123" s="57">
        <f t="shared" si="26"/>
        <v>6861520.0000000009</v>
      </c>
      <c r="M123" s="78">
        <f t="shared" ref="M123" si="27">SUM(D123:L123)</f>
        <v>35725220.000000007</v>
      </c>
    </row>
    <row r="124" spans="3:13">
      <c r="C124" s="14" t="s">
        <v>107</v>
      </c>
      <c r="D124" s="54">
        <v>683086.66666666674</v>
      </c>
      <c r="E124" s="54">
        <v>52700</v>
      </c>
      <c r="F124" s="54">
        <v>477273.33333333337</v>
      </c>
      <c r="G124" s="54">
        <v>149546.66666666669</v>
      </c>
      <c r="H124" s="54">
        <v>114653.3333333333</v>
      </c>
      <c r="I124" s="54">
        <v>330620</v>
      </c>
      <c r="J124" s="54">
        <v>466373.33333333337</v>
      </c>
      <c r="K124" s="54">
        <v>108393.3333333333</v>
      </c>
      <c r="L124" s="54">
        <v>604660</v>
      </c>
      <c r="M124" s="74">
        <v>2987306.666666667</v>
      </c>
    </row>
    <row r="125" spans="3:13">
      <c r="C125" s="56" t="s">
        <v>103</v>
      </c>
      <c r="D125" s="57">
        <f>SUM(D123:D124)</f>
        <v>11639866.666666668</v>
      </c>
      <c r="E125" s="57">
        <f t="shared" ref="E125" si="28">SUM(E123:E124)</f>
        <v>796526.66666666663</v>
      </c>
      <c r="F125" s="57">
        <f t="shared" ref="F125" si="29">SUM(F123:F124)</f>
        <v>4319726.666666666</v>
      </c>
      <c r="G125" s="57">
        <f t="shared" ref="G125" si="30">SUM(G123:G124)</f>
        <v>2600853.333333333</v>
      </c>
      <c r="H125" s="57">
        <f t="shared" ref="H125" si="31">SUM(H123:H124)</f>
        <v>1823746.6666666672</v>
      </c>
      <c r="I125" s="57">
        <f t="shared" ref="I125" si="32">SUM(I123:I124)</f>
        <v>3156313.333333334</v>
      </c>
      <c r="J125" s="57">
        <f t="shared" ref="J125" si="33">SUM(J123:J124)</f>
        <v>5626433.333333334</v>
      </c>
      <c r="K125" s="57">
        <f t="shared" ref="K125" si="34">SUM(K123:K124)</f>
        <v>1282880.0000000002</v>
      </c>
      <c r="L125" s="57">
        <f t="shared" ref="L125" si="35">SUM(L123:L124)</f>
        <v>7466180.0000000009</v>
      </c>
      <c r="M125" s="78">
        <f t="shared" ref="M125" si="36">SUM(M123:M124)</f>
        <v>38712526.666666672</v>
      </c>
    </row>
    <row r="128" spans="3:13">
      <c r="C128" s="125" t="s">
        <v>120</v>
      </c>
    </row>
    <row r="129" spans="3:13" ht="16.5" thickBot="1">
      <c r="C129" s="59" t="s">
        <v>28</v>
      </c>
      <c r="D129" s="59" t="s">
        <v>110</v>
      </c>
      <c r="E129" s="59" t="s">
        <v>111</v>
      </c>
      <c r="F129" s="59" t="s">
        <v>112</v>
      </c>
      <c r="G129" s="59" t="s">
        <v>113</v>
      </c>
      <c r="H129" s="59" t="s">
        <v>114</v>
      </c>
      <c r="I129" s="59" t="s">
        <v>115</v>
      </c>
      <c r="J129" s="59" t="s">
        <v>116</v>
      </c>
      <c r="K129" s="59" t="s">
        <v>117</v>
      </c>
      <c r="L129" s="59" t="s">
        <v>118</v>
      </c>
      <c r="M129" s="73" t="s">
        <v>119</v>
      </c>
    </row>
    <row r="130" spans="3:13" ht="16.5" thickTop="1">
      <c r="C130" s="14" t="s">
        <v>30</v>
      </c>
      <c r="D130" s="138">
        <f>(D92-D56)/D56</f>
        <v>0.23649153423935501</v>
      </c>
      <c r="E130" s="138">
        <f t="shared" ref="E130:M130" si="37">(E92-E56)/E56</f>
        <v>-0.20529101986657691</v>
      </c>
      <c r="F130" s="138">
        <f t="shared" si="37"/>
        <v>0.56110324466956207</v>
      </c>
      <c r="G130" s="138">
        <f t="shared" si="37"/>
        <v>0.51054358774409458</v>
      </c>
      <c r="H130" s="138">
        <f t="shared" si="37"/>
        <v>-8.4733030328238784E-2</v>
      </c>
      <c r="I130" s="138">
        <f t="shared" si="37"/>
        <v>0.18052793434289538</v>
      </c>
      <c r="J130" s="138">
        <f t="shared" si="37"/>
        <v>-4.5835954282730219E-2</v>
      </c>
      <c r="K130" s="138">
        <f t="shared" si="37"/>
        <v>-0.10880152037059033</v>
      </c>
      <c r="L130" s="138">
        <f t="shared" si="37"/>
        <v>-6.1285186709656721E-2</v>
      </c>
      <c r="M130" s="139">
        <f t="shared" si="37"/>
        <v>0.1136481954661766</v>
      </c>
    </row>
    <row r="131" spans="3:13">
      <c r="C131" s="13" t="s">
        <v>31</v>
      </c>
      <c r="D131" s="148">
        <f t="shared" ref="D131:M131" si="38">(D93-D57)/D57</f>
        <v>-7.8665152662124566E-2</v>
      </c>
      <c r="E131" s="148">
        <f t="shared" si="38"/>
        <v>-0.23491934390673691</v>
      </c>
      <c r="F131" s="148">
        <f t="shared" si="38"/>
        <v>0.18582814193210859</v>
      </c>
      <c r="G131" s="148">
        <f t="shared" si="38"/>
        <v>-0.2700378396972824</v>
      </c>
      <c r="H131" s="148">
        <f t="shared" si="38"/>
        <v>-0.23409526480624504</v>
      </c>
      <c r="I131" s="148">
        <f t="shared" si="38"/>
        <v>1.127083621695371E-3</v>
      </c>
      <c r="J131" s="148">
        <f t="shared" si="38"/>
        <v>-0.16405114908851554</v>
      </c>
      <c r="K131" s="148">
        <f t="shared" si="38"/>
        <v>-0.31557081690618494</v>
      </c>
      <c r="L131" s="148">
        <f t="shared" si="38"/>
        <v>-0.29923166446958371</v>
      </c>
      <c r="M131" s="149">
        <f t="shared" si="38"/>
        <v>-0.14981711740632797</v>
      </c>
    </row>
    <row r="132" spans="3:13">
      <c r="C132" s="14" t="s">
        <v>32</v>
      </c>
      <c r="D132" s="138">
        <f t="shared" ref="D132:M132" si="39">(D94-D58)/D58</f>
        <v>-3.000107220013179E-2</v>
      </c>
      <c r="E132" s="138">
        <f t="shared" si="39"/>
        <v>-6.9222888921410805E-2</v>
      </c>
      <c r="F132" s="138">
        <f t="shared" si="39"/>
        <v>0.22471992743853111</v>
      </c>
      <c r="G132" s="138">
        <f t="shared" si="39"/>
        <v>-0.16929609861107014</v>
      </c>
      <c r="H132" s="138">
        <f t="shared" si="39"/>
        <v>-0.21437398160602764</v>
      </c>
      <c r="I132" s="138">
        <f t="shared" si="39"/>
        <v>2.7818808468734683E-2</v>
      </c>
      <c r="J132" s="138">
        <f t="shared" si="39"/>
        <v>-0.14694545414612184</v>
      </c>
      <c r="K132" s="138">
        <f t="shared" si="39"/>
        <v>-0.27662982540445286</v>
      </c>
      <c r="L132" s="138">
        <f t="shared" si="39"/>
        <v>-0.2752758571457708</v>
      </c>
      <c r="M132" s="139">
        <f t="shared" si="39"/>
        <v>-0.11589427450863321</v>
      </c>
    </row>
    <row r="133" spans="3:13">
      <c r="C133" s="15" t="s">
        <v>33</v>
      </c>
      <c r="D133" s="140">
        <f t="shared" ref="D133:M133" si="40">(D95-D59)/D59</f>
        <v>0.22528269788852212</v>
      </c>
      <c r="E133" s="140">
        <f t="shared" si="40"/>
        <v>-0.15176736539251928</v>
      </c>
      <c r="F133" s="140">
        <f t="shared" si="40"/>
        <v>0.18479068794065184</v>
      </c>
      <c r="G133" s="140">
        <f t="shared" si="40"/>
        <v>0.34699323789492748</v>
      </c>
      <c r="H133" s="140">
        <f t="shared" si="40"/>
        <v>-0.26709924476119562</v>
      </c>
      <c r="I133" s="140">
        <f t="shared" si="40"/>
        <v>-3.7811147186147122E-2</v>
      </c>
      <c r="J133" s="140">
        <f t="shared" si="40"/>
        <v>-0.24516799223509667</v>
      </c>
      <c r="K133" s="140">
        <f t="shared" si="40"/>
        <v>-0.31948908117016883</v>
      </c>
      <c r="L133" s="140">
        <f t="shared" si="40"/>
        <v>-0.30989971984395054</v>
      </c>
      <c r="M133" s="141">
        <f t="shared" si="40"/>
        <v>-5.3571567627338945E-2</v>
      </c>
    </row>
    <row r="134" spans="3:13">
      <c r="C134" s="13" t="s">
        <v>34</v>
      </c>
      <c r="D134" s="138">
        <f t="shared" ref="D134:M134" si="41">(D96-D60)/D60</f>
        <v>0.37996979817686821</v>
      </c>
      <c r="E134" s="138">
        <f t="shared" si="41"/>
        <v>-6.4916737228337365E-2</v>
      </c>
      <c r="F134" s="138">
        <f t="shared" si="41"/>
        <v>0.56927432468793515</v>
      </c>
      <c r="G134" s="138">
        <f t="shared" si="41"/>
        <v>0.95561060441141576</v>
      </c>
      <c r="H134" s="138">
        <f t="shared" si="41"/>
        <v>-4.4770450553102421E-2</v>
      </c>
      <c r="I134" s="138">
        <f t="shared" si="41"/>
        <v>0.18595960592212696</v>
      </c>
      <c r="J134" s="138">
        <f t="shared" si="41"/>
        <v>-3.1784341518854793E-2</v>
      </c>
      <c r="K134" s="138">
        <f t="shared" si="41"/>
        <v>-6.211191990982199E-2</v>
      </c>
      <c r="L134" s="138">
        <f t="shared" si="41"/>
        <v>-0.10077590280635974</v>
      </c>
      <c r="M134" s="139">
        <f t="shared" si="41"/>
        <v>0.1638593431640018</v>
      </c>
    </row>
    <row r="135" spans="3:13">
      <c r="C135" s="14" t="s">
        <v>35</v>
      </c>
      <c r="D135" s="138">
        <f t="shared" ref="D135:M135" si="42">(D97-D61)/D61</f>
        <v>0.29001873862031269</v>
      </c>
      <c r="E135" s="138">
        <f t="shared" si="42"/>
        <v>-0.40121364594616615</v>
      </c>
      <c r="F135" s="138">
        <f t="shared" si="42"/>
        <v>0.15797053804849803</v>
      </c>
      <c r="G135" s="138">
        <f t="shared" si="42"/>
        <v>0.61219051271909342</v>
      </c>
      <c r="H135" s="138">
        <f t="shared" si="42"/>
        <v>-8.3321334921486634E-2</v>
      </c>
      <c r="I135" s="138">
        <f t="shared" si="42"/>
        <v>8.9790510671230658E-3</v>
      </c>
      <c r="J135" s="138">
        <f t="shared" si="42"/>
        <v>-9.336573511543135E-2</v>
      </c>
      <c r="K135" s="138">
        <f t="shared" si="42"/>
        <v>-0.14517660279386976</v>
      </c>
      <c r="L135" s="138">
        <f t="shared" si="42"/>
        <v>-0.11889475822836246</v>
      </c>
      <c r="M135" s="139">
        <f t="shared" si="42"/>
        <v>7.6416091798879038E-2</v>
      </c>
    </row>
    <row r="136" spans="3:13">
      <c r="C136" s="14" t="s">
        <v>36</v>
      </c>
      <c r="D136" s="138">
        <f t="shared" ref="D136:M136" si="43">(D98-D62)/D62</f>
        <v>1.7729558084149246E-2</v>
      </c>
      <c r="E136" s="138">
        <f t="shared" si="43"/>
        <v>-2.506912779944671E-2</v>
      </c>
      <c r="F136" s="138">
        <f t="shared" si="43"/>
        <v>0.24700370947602526</v>
      </c>
      <c r="G136" s="138">
        <f t="shared" si="43"/>
        <v>-1.9666354051212042E-2</v>
      </c>
      <c r="H136" s="138">
        <f t="shared" si="43"/>
        <v>-0.14047701050456346</v>
      </c>
      <c r="I136" s="138">
        <f t="shared" si="43"/>
        <v>9.0154536793321166E-2</v>
      </c>
      <c r="J136" s="138">
        <f t="shared" si="43"/>
        <v>-0.13702403328959353</v>
      </c>
      <c r="K136" s="138">
        <f t="shared" si="43"/>
        <v>-0.20462256793574576</v>
      </c>
      <c r="L136" s="138">
        <f t="shared" si="43"/>
        <v>-0.21293239897174573</v>
      </c>
      <c r="M136" s="139">
        <f t="shared" si="43"/>
        <v>-6.0230509950636842E-2</v>
      </c>
    </row>
    <row r="137" spans="3:13">
      <c r="C137" s="14" t="s">
        <v>37</v>
      </c>
      <c r="D137" s="138">
        <f t="shared" ref="D137:M137" si="44">(D99-D63)/D63</f>
        <v>0.1346705712251654</v>
      </c>
      <c r="E137" s="138">
        <f t="shared" si="44"/>
        <v>0.32623734676229726</v>
      </c>
      <c r="F137" s="138">
        <f t="shared" si="44"/>
        <v>0.41029353409907432</v>
      </c>
      <c r="G137" s="138">
        <f t="shared" si="44"/>
        <v>0.31547605501316195</v>
      </c>
      <c r="H137" s="138">
        <f t="shared" si="44"/>
        <v>-1.3744912846502286E-2</v>
      </c>
      <c r="I137" s="138">
        <f t="shared" si="44"/>
        <v>0.19516731981290519</v>
      </c>
      <c r="J137" s="138">
        <f t="shared" si="44"/>
        <v>-5.6365348550823792E-2</v>
      </c>
      <c r="K137" s="138">
        <f t="shared" si="44"/>
        <v>-9.260623925325466E-2</v>
      </c>
      <c r="L137" s="138">
        <f t="shared" si="44"/>
        <v>-7.0719118589915739E-2</v>
      </c>
      <c r="M137" s="139">
        <f t="shared" si="44"/>
        <v>8.15014012862674E-2</v>
      </c>
    </row>
    <row r="138" spans="3:13">
      <c r="C138" s="14" t="s">
        <v>38</v>
      </c>
      <c r="D138" s="138">
        <f t="shared" ref="D138:M138" si="45">(D100-D64)/D64</f>
        <v>-0.18794193905600962</v>
      </c>
      <c r="E138" s="138">
        <f t="shared" si="45"/>
        <v>-0.33117322758487283</v>
      </c>
      <c r="F138" s="138">
        <f t="shared" si="45"/>
        <v>0.25823908321474048</v>
      </c>
      <c r="G138" s="138">
        <f t="shared" si="45"/>
        <v>-0.43143866930384878</v>
      </c>
      <c r="H138" s="138">
        <f t="shared" si="45"/>
        <v>-0.28942745491700428</v>
      </c>
      <c r="I138" s="138">
        <f t="shared" si="45"/>
        <v>9.7011279864996885E-2</v>
      </c>
      <c r="J138" s="138">
        <f t="shared" si="45"/>
        <v>-0.2696700965665832</v>
      </c>
      <c r="K138" s="138">
        <f t="shared" si="45"/>
        <v>-0.4129463535893042</v>
      </c>
      <c r="L138" s="138">
        <f t="shared" si="45"/>
        <v>-0.38976313699320708</v>
      </c>
      <c r="M138" s="139">
        <f t="shared" si="45"/>
        <v>-0.21653834930753518</v>
      </c>
    </row>
    <row r="139" spans="3:13">
      <c r="C139" s="14" t="s">
        <v>39</v>
      </c>
      <c r="D139" s="138">
        <f t="shared" ref="D139:M139" si="46">(D101-D65)/D65</f>
        <v>-0.18706735996727269</v>
      </c>
      <c r="E139" s="138">
        <f t="shared" si="46"/>
        <v>-0.54078355812459855</v>
      </c>
      <c r="F139" s="138">
        <f t="shared" si="46"/>
        <v>0.24004862384676426</v>
      </c>
      <c r="G139" s="138">
        <f t="shared" si="46"/>
        <v>-0.41013125863946071</v>
      </c>
      <c r="H139" s="138">
        <f t="shared" si="46"/>
        <v>-0.26948364027836519</v>
      </c>
      <c r="I139" s="138">
        <f t="shared" si="46"/>
        <v>2.5026963219620793E-2</v>
      </c>
      <c r="J139" s="138">
        <f t="shared" si="46"/>
        <v>-0.21851727492660394</v>
      </c>
      <c r="K139" s="138">
        <f t="shared" si="46"/>
        <v>-0.34471427426464679</v>
      </c>
      <c r="L139" s="138">
        <f t="shared" si="46"/>
        <v>-0.33924296568712486</v>
      </c>
      <c r="M139" s="139">
        <f t="shared" si="46"/>
        <v>-0.19907335907335907</v>
      </c>
    </row>
    <row r="140" spans="3:13">
      <c r="C140" s="15" t="s">
        <v>40</v>
      </c>
      <c r="D140" s="138">
        <f t="shared" ref="D140:M140" si="47">(D102-D66)/D66</f>
        <v>4.2594614580263951E-2</v>
      </c>
      <c r="E140" s="138">
        <f t="shared" si="47"/>
        <v>-0.11303315526159578</v>
      </c>
      <c r="F140" s="138">
        <f t="shared" si="47"/>
        <v>0.20830324909747291</v>
      </c>
      <c r="G140" s="138">
        <f t="shared" si="47"/>
        <v>1.8124897017630581E-3</v>
      </c>
      <c r="H140" s="138">
        <f t="shared" si="47"/>
        <v>-0.29543657517225774</v>
      </c>
      <c r="I140" s="138">
        <f t="shared" si="47"/>
        <v>0.10199184065274779</v>
      </c>
      <c r="J140" s="138">
        <f t="shared" si="47"/>
        <v>-0.22674499930060149</v>
      </c>
      <c r="K140" s="138">
        <f t="shared" si="47"/>
        <v>-0.34742158426368969</v>
      </c>
      <c r="L140" s="138">
        <f t="shared" si="47"/>
        <v>-0.35102471315606987</v>
      </c>
      <c r="M140" s="139">
        <f t="shared" si="47"/>
        <v>-0.10640397828645157</v>
      </c>
    </row>
    <row r="141" spans="3:13">
      <c r="C141" s="14" t="s">
        <v>41</v>
      </c>
      <c r="D141" s="148">
        <f t="shared" ref="D141:M141" si="48">(D103-D67)/D67</f>
        <v>-1.8872839079743832E-2</v>
      </c>
      <c r="E141" s="148">
        <f t="shared" si="48"/>
        <v>0.23267584314838508</v>
      </c>
      <c r="F141" s="148">
        <f t="shared" si="48"/>
        <v>0.33929437222809156</v>
      </c>
      <c r="G141" s="148">
        <f t="shared" si="48"/>
        <v>-0.13180993478154268</v>
      </c>
      <c r="H141" s="148">
        <f t="shared" si="48"/>
        <v>-0.15438015332120514</v>
      </c>
      <c r="I141" s="148">
        <f t="shared" si="48"/>
        <v>0.27173227783518922</v>
      </c>
      <c r="J141" s="148">
        <f t="shared" si="48"/>
        <v>-1.7313927491722975E-2</v>
      </c>
      <c r="K141" s="148">
        <f t="shared" si="48"/>
        <v>-0.19625322997416003</v>
      </c>
      <c r="L141" s="148">
        <f t="shared" si="48"/>
        <v>-0.16695346521477777</v>
      </c>
      <c r="M141" s="149">
        <f t="shared" si="48"/>
        <v>-1.1856097060318968E-2</v>
      </c>
    </row>
    <row r="142" spans="3:13">
      <c r="C142" s="14" t="s">
        <v>42</v>
      </c>
      <c r="D142" s="138">
        <f t="shared" ref="D142:M142" si="49">(D104-D68)/D68</f>
        <v>6.8814640098165347E-2</v>
      </c>
      <c r="E142" s="138">
        <f t="shared" si="49"/>
        <v>-0.14463758609380126</v>
      </c>
      <c r="F142" s="138">
        <f t="shared" si="49"/>
        <v>0.18306431779644564</v>
      </c>
      <c r="G142" s="138">
        <f t="shared" si="49"/>
        <v>1.148724204533908E-2</v>
      </c>
      <c r="H142" s="138">
        <f t="shared" si="49"/>
        <v>-0.27237151854229719</v>
      </c>
      <c r="I142" s="138">
        <f t="shared" si="49"/>
        <v>-1.8740043173741453E-2</v>
      </c>
      <c r="J142" s="138">
        <f t="shared" si="49"/>
        <v>-0.27523089097620551</v>
      </c>
      <c r="K142" s="138">
        <f t="shared" si="49"/>
        <v>-0.33555549433899895</v>
      </c>
      <c r="L142" s="138">
        <f t="shared" si="49"/>
        <v>-0.36681169279257675</v>
      </c>
      <c r="M142" s="139">
        <f t="shared" si="49"/>
        <v>-0.13638993258755397</v>
      </c>
    </row>
    <row r="143" spans="3:13">
      <c r="C143" s="14" t="s">
        <v>43</v>
      </c>
      <c r="D143" s="138">
        <f t="shared" ref="D143:M143" si="50">(D105-D69)/D69</f>
        <v>0.22941948401585568</v>
      </c>
      <c r="E143" s="138">
        <f t="shared" si="50"/>
        <v>0.3249313297786397</v>
      </c>
      <c r="F143" s="138">
        <f t="shared" si="50"/>
        <v>0.26615256356815342</v>
      </c>
      <c r="G143" s="138">
        <f t="shared" si="50"/>
        <v>0.36945171643667413</v>
      </c>
      <c r="H143" s="138">
        <f t="shared" si="50"/>
        <v>-0.18466000644537545</v>
      </c>
      <c r="I143" s="138">
        <f t="shared" si="50"/>
        <v>6.5292096219931553E-2</v>
      </c>
      <c r="J143" s="138">
        <f t="shared" si="50"/>
        <v>-0.19597977927543195</v>
      </c>
      <c r="K143" s="138">
        <f t="shared" si="50"/>
        <v>-0.25224735703186801</v>
      </c>
      <c r="L143" s="138">
        <f t="shared" si="50"/>
        <v>-0.29305768199953136</v>
      </c>
      <c r="M143" s="139">
        <f t="shared" si="50"/>
        <v>-2.0699947284926211E-2</v>
      </c>
    </row>
    <row r="144" spans="3:13">
      <c r="C144" s="14" t="s">
        <v>44</v>
      </c>
      <c r="D144" s="138">
        <f t="shared" ref="D144:M144" si="51">(D106-D70)/D70</f>
        <v>0.12357187685857268</v>
      </c>
      <c r="E144" s="138">
        <f t="shared" si="51"/>
        <v>-0.23517758596292629</v>
      </c>
      <c r="F144" s="138">
        <f t="shared" si="51"/>
        <v>0.26319193626885945</v>
      </c>
      <c r="G144" s="138">
        <f t="shared" si="51"/>
        <v>0.17137686944488811</v>
      </c>
      <c r="H144" s="138">
        <f t="shared" si="51"/>
        <v>-0.16711295928761224</v>
      </c>
      <c r="I144" s="138">
        <f t="shared" si="51"/>
        <v>0.11350032211684083</v>
      </c>
      <c r="J144" s="138">
        <f t="shared" si="51"/>
        <v>-0.27379234487421417</v>
      </c>
      <c r="K144" s="138">
        <f t="shared" si="51"/>
        <v>-0.21344467482071866</v>
      </c>
      <c r="L144" s="138">
        <f t="shared" si="51"/>
        <v>-0.22470165113617779</v>
      </c>
      <c r="M144" s="139">
        <f t="shared" si="51"/>
        <v>-5.2904906520554282E-2</v>
      </c>
    </row>
    <row r="145" spans="3:13">
      <c r="C145" s="16" t="s">
        <v>45</v>
      </c>
      <c r="D145" s="140">
        <f t="shared" ref="D145:M145" si="52">(D107-D71)/D71</f>
        <v>0.18808351811953183</v>
      </c>
      <c r="E145" s="140">
        <f t="shared" si="52"/>
        <v>-0.38505747126436779</v>
      </c>
      <c r="F145" s="140">
        <f t="shared" si="52"/>
        <v>2.1638128439112756</v>
      </c>
      <c r="G145" s="140">
        <f t="shared" si="52"/>
        <v>0.56112539274493023</v>
      </c>
      <c r="H145" s="140">
        <f t="shared" si="52"/>
        <v>-5.2422594046225443E-2</v>
      </c>
      <c r="I145" s="140">
        <f t="shared" si="52"/>
        <v>0.38144969496432635</v>
      </c>
      <c r="J145" s="140">
        <f t="shared" si="52"/>
        <v>0.10585985521103675</v>
      </c>
      <c r="K145" s="140">
        <f t="shared" si="52"/>
        <v>2.1156667438807956E-2</v>
      </c>
      <c r="L145" s="140">
        <f t="shared" si="52"/>
        <v>-1.1378533971728123E-2</v>
      </c>
      <c r="M145" s="141">
        <f t="shared" si="52"/>
        <v>0.10115420826213846</v>
      </c>
    </row>
    <row r="146" spans="3:13">
      <c r="C146" s="14" t="s">
        <v>46</v>
      </c>
      <c r="D146" s="138">
        <f t="shared" ref="D146:M146" si="53">(D108-D72)/D72</f>
        <v>-2.2420557036179969E-2</v>
      </c>
      <c r="E146" s="138">
        <f t="shared" si="53"/>
        <v>-0.20553040670947836</v>
      </c>
      <c r="F146" s="138">
        <f t="shared" si="53"/>
        <v>6.5132783882783887E-2</v>
      </c>
      <c r="G146" s="138">
        <f t="shared" si="53"/>
        <v>-0.10531258932581967</v>
      </c>
      <c r="H146" s="138">
        <f t="shared" si="53"/>
        <v>-0.27209307182989739</v>
      </c>
      <c r="I146" s="138">
        <f t="shared" si="53"/>
        <v>7.3829720389570162E-3</v>
      </c>
      <c r="J146" s="138">
        <f t="shared" si="53"/>
        <v>-0.23199584418317148</v>
      </c>
      <c r="K146" s="138">
        <f t="shared" si="53"/>
        <v>-0.28966789667896681</v>
      </c>
      <c r="L146" s="138">
        <f t="shared" si="53"/>
        <v>-0.32565391512388597</v>
      </c>
      <c r="M146" s="139">
        <f t="shared" si="53"/>
        <v>-0.15709659548722438</v>
      </c>
    </row>
    <row r="147" spans="3:13">
      <c r="C147" s="14" t="s">
        <v>47</v>
      </c>
      <c r="D147" s="138">
        <f t="shared" ref="D147:M147" si="54">(D109-D73)/D73</f>
        <v>9.8411282767415217E-2</v>
      </c>
      <c r="E147" s="138">
        <f t="shared" si="54"/>
        <v>0.56730126920507717</v>
      </c>
      <c r="F147" s="138">
        <f t="shared" si="54"/>
        <v>0.15856777493606139</v>
      </c>
      <c r="G147" s="138">
        <f t="shared" si="54"/>
        <v>0.18324503146531354</v>
      </c>
      <c r="H147" s="138">
        <f t="shared" si="54"/>
        <v>-0.12582768616273532</v>
      </c>
      <c r="I147" s="138">
        <f t="shared" si="54"/>
        <v>9.1321885952344209E-2</v>
      </c>
      <c r="J147" s="138">
        <f t="shared" si="54"/>
        <v>-0.11431206079684578</v>
      </c>
      <c r="K147" s="138">
        <f t="shared" si="54"/>
        <v>-6.2807003377878159E-2</v>
      </c>
      <c r="L147" s="138">
        <f t="shared" si="54"/>
        <v>-0.1193046515319892</v>
      </c>
      <c r="M147" s="139">
        <f t="shared" si="54"/>
        <v>8.8191879784336995E-3</v>
      </c>
    </row>
    <row r="148" spans="3:13">
      <c r="C148" s="14" t="s">
        <v>48</v>
      </c>
      <c r="D148" s="138">
        <f t="shared" ref="D148:M148" si="55">(D110-D74)/D74</f>
        <v>1.9136483586332104E-2</v>
      </c>
      <c r="E148" s="138">
        <f t="shared" si="55"/>
        <v>5.6455761316872133E-2</v>
      </c>
      <c r="F148" s="138">
        <f t="shared" si="55"/>
        <v>0.26355671990760315</v>
      </c>
      <c r="G148" s="138">
        <f t="shared" si="55"/>
        <v>-0.24921688651320495</v>
      </c>
      <c r="H148" s="138">
        <f t="shared" si="55"/>
        <v>-0.17839811656176427</v>
      </c>
      <c r="I148" s="138">
        <f t="shared" si="55"/>
        <v>-1.4766389976056291E-3</v>
      </c>
      <c r="J148" s="138">
        <f t="shared" si="55"/>
        <v>-0.13451919088402534</v>
      </c>
      <c r="K148" s="138">
        <f t="shared" si="55"/>
        <v>-0.2868435670640514</v>
      </c>
      <c r="L148" s="138">
        <f t="shared" si="55"/>
        <v>-0.30997667789582795</v>
      </c>
      <c r="M148" s="139">
        <f t="shared" si="55"/>
        <v>-0.12108176216265909</v>
      </c>
    </row>
    <row r="149" spans="3:13">
      <c r="C149" s="14" t="s">
        <v>49</v>
      </c>
      <c r="D149" s="138">
        <f t="shared" ref="D149:M149" si="56">(D111-D75)/D75</f>
        <v>-0.18390014886064354</v>
      </c>
      <c r="E149" s="138">
        <f t="shared" si="56"/>
        <v>-0.27416488983653159</v>
      </c>
      <c r="F149" s="138">
        <f t="shared" si="56"/>
        <v>0.11889306457123335</v>
      </c>
      <c r="G149" s="138">
        <f t="shared" si="56"/>
        <v>-0.32404446474798221</v>
      </c>
      <c r="H149" s="138">
        <f t="shared" si="56"/>
        <v>-0.10663955189268245</v>
      </c>
      <c r="I149" s="138">
        <f t="shared" si="56"/>
        <v>8.544906730471008E-2</v>
      </c>
      <c r="J149" s="138">
        <f t="shared" si="56"/>
        <v>-2.4564994882292732E-2</v>
      </c>
      <c r="K149" s="138">
        <f t="shared" si="56"/>
        <v>-0.24843572241183162</v>
      </c>
      <c r="L149" s="138">
        <f t="shared" si="56"/>
        <v>-0.16759650152032782</v>
      </c>
      <c r="M149" s="139">
        <f t="shared" si="56"/>
        <v>-0.10920612301572831</v>
      </c>
    </row>
    <row r="150" spans="3:13">
      <c r="C150" s="16" t="s">
        <v>50</v>
      </c>
      <c r="D150" s="138">
        <f t="shared" ref="D150:M150" si="57">(D112-D76)/D76</f>
        <v>-0.19837575631730431</v>
      </c>
      <c r="E150" s="138">
        <f t="shared" si="57"/>
        <v>-0.26674593737613966</v>
      </c>
      <c r="F150" s="138">
        <f t="shared" si="57"/>
        <v>0.15450624253026138</v>
      </c>
      <c r="G150" s="138">
        <f t="shared" si="57"/>
        <v>-0.60117043450376773</v>
      </c>
      <c r="H150" s="138">
        <f t="shared" si="57"/>
        <v>-0.29284998781709398</v>
      </c>
      <c r="I150" s="138">
        <f t="shared" si="57"/>
        <v>-4.1922484545435637E-2</v>
      </c>
      <c r="J150" s="138">
        <f t="shared" si="57"/>
        <v>-0.29655131300485849</v>
      </c>
      <c r="K150" s="138">
        <f t="shared" si="57"/>
        <v>-0.36133992311916524</v>
      </c>
      <c r="L150" s="138">
        <f t="shared" si="57"/>
        <v>-0.39283295814345059</v>
      </c>
      <c r="M150" s="139">
        <f t="shared" si="57"/>
        <v>-0.24566498004576987</v>
      </c>
    </row>
    <row r="151" spans="3:13">
      <c r="C151" s="14" t="s">
        <v>51</v>
      </c>
      <c r="D151" s="148">
        <f t="shared" ref="D151:M151" si="58">(D113-D77)/D77</f>
        <v>8.1143514458933377E-2</v>
      </c>
      <c r="E151" s="148">
        <f t="shared" si="58"/>
        <v>-0.21331071803569979</v>
      </c>
      <c r="F151" s="148">
        <f t="shared" si="58"/>
        <v>0.26619809659955812</v>
      </c>
      <c r="G151" s="148">
        <f t="shared" si="58"/>
        <v>-6.5639984878330102E-2</v>
      </c>
      <c r="H151" s="148">
        <f t="shared" si="58"/>
        <v>-0.24003792872175567</v>
      </c>
      <c r="I151" s="148">
        <f t="shared" si="58"/>
        <v>5.8715861471027406E-2</v>
      </c>
      <c r="J151" s="148">
        <f t="shared" si="58"/>
        <v>-0.21522443378743505</v>
      </c>
      <c r="K151" s="148">
        <f t="shared" si="58"/>
        <v>-0.28956408434020386</v>
      </c>
      <c r="L151" s="148">
        <f t="shared" si="58"/>
        <v>-0.26731645481177596</v>
      </c>
      <c r="M151" s="149">
        <f t="shared" si="58"/>
        <v>-8.3127643297391501E-2</v>
      </c>
    </row>
    <row r="152" spans="3:13">
      <c r="C152" s="16" t="s">
        <v>52</v>
      </c>
      <c r="D152" s="140">
        <f t="shared" ref="D152:M152" si="59">(D114-D78)/D78</f>
        <v>7.8755314002202925E-2</v>
      </c>
      <c r="E152" s="140">
        <f t="shared" si="59"/>
        <v>0.18330499554691956</v>
      </c>
      <c r="F152" s="140">
        <f t="shared" si="59"/>
        <v>0.25925676962547212</v>
      </c>
      <c r="G152" s="140">
        <f t="shared" si="59"/>
        <v>-8.1946001111688149E-2</v>
      </c>
      <c r="H152" s="140">
        <f t="shared" si="59"/>
        <v>-0.18397349394946727</v>
      </c>
      <c r="I152" s="140">
        <f t="shared" si="59"/>
        <v>-3.6438899625597487E-2</v>
      </c>
      <c r="J152" s="140">
        <f t="shared" si="59"/>
        <v>-0.19457939145998465</v>
      </c>
      <c r="K152" s="140">
        <f t="shared" si="59"/>
        <v>-0.2698636209549139</v>
      </c>
      <c r="L152" s="140">
        <f t="shared" si="59"/>
        <v>-0.30511712818635933</v>
      </c>
      <c r="M152" s="141">
        <f t="shared" si="59"/>
        <v>-8.6108413429316299E-2</v>
      </c>
    </row>
    <row r="153" spans="3:13">
      <c r="C153" s="14" t="s">
        <v>53</v>
      </c>
      <c r="D153" s="138">
        <f t="shared" ref="D153:M153" si="60">(D115-D79)/D79</f>
        <v>0.15111433337459373</v>
      </c>
      <c r="E153" s="138">
        <f t="shared" si="60"/>
        <v>0.12369732668781151</v>
      </c>
      <c r="F153" s="138">
        <f t="shared" si="60"/>
        <v>0.15634566840324399</v>
      </c>
      <c r="G153" s="138">
        <f t="shared" si="60"/>
        <v>0.2242675379180282</v>
      </c>
      <c r="H153" s="138">
        <f t="shared" si="60"/>
        <v>-0.17614104465315514</v>
      </c>
      <c r="I153" s="138">
        <f t="shared" si="60"/>
        <v>-7.734233065144043E-2</v>
      </c>
      <c r="J153" s="138">
        <f t="shared" si="60"/>
        <v>-0.19642489394126603</v>
      </c>
      <c r="K153" s="138">
        <f t="shared" si="60"/>
        <v>-0.3124235909110073</v>
      </c>
      <c r="L153" s="138">
        <f t="shared" si="60"/>
        <v>-0.29746587111526013</v>
      </c>
      <c r="M153" s="139">
        <f t="shared" si="60"/>
        <v>-5.812512804503283E-2</v>
      </c>
    </row>
    <row r="154" spans="3:13">
      <c r="C154" s="16" t="s">
        <v>54</v>
      </c>
      <c r="D154" s="138">
        <f t="shared" ref="D154:M154" si="61">(D116-D80)/D80</f>
        <v>1.6347208439964487E-2</v>
      </c>
      <c r="E154" s="138">
        <f t="shared" si="61"/>
        <v>0.12038970076548365</v>
      </c>
      <c r="F154" s="138">
        <f t="shared" si="61"/>
        <v>0.16101570526933837</v>
      </c>
      <c r="G154" s="138">
        <f t="shared" si="61"/>
        <v>-0.16521594959794406</v>
      </c>
      <c r="H154" s="138">
        <f t="shared" si="61"/>
        <v>-0.21408423305125956</v>
      </c>
      <c r="I154" s="138">
        <f t="shared" si="61"/>
        <v>2.6669813547321217E-2</v>
      </c>
      <c r="J154" s="138">
        <f t="shared" si="61"/>
        <v>-0.30144267274107794</v>
      </c>
      <c r="K154" s="138">
        <f t="shared" si="61"/>
        <v>-0.28125368210203838</v>
      </c>
      <c r="L154" s="138">
        <f t="shared" si="61"/>
        <v>-0.32323787425454381</v>
      </c>
      <c r="M154" s="139">
        <f t="shared" si="61"/>
        <v>-0.14437824200812999</v>
      </c>
    </row>
    <row r="155" spans="3:13">
      <c r="C155" s="14" t="s">
        <v>55</v>
      </c>
      <c r="D155" s="148">
        <f t="shared" ref="D155:M155" si="62">(D117-D81)/D81</f>
        <v>-6.1309490407337526E-2</v>
      </c>
      <c r="E155" s="148">
        <f t="shared" si="62"/>
        <v>-0.17039461720312768</v>
      </c>
      <c r="F155" s="148">
        <f t="shared" si="62"/>
        <v>0.23301579072429965</v>
      </c>
      <c r="G155" s="148">
        <f t="shared" si="62"/>
        <v>-0.23541694433337776</v>
      </c>
      <c r="H155" s="148">
        <f t="shared" si="62"/>
        <v>-0.14706136934129652</v>
      </c>
      <c r="I155" s="148">
        <f t="shared" si="62"/>
        <v>8.4824231010671686E-2</v>
      </c>
      <c r="J155" s="148">
        <f t="shared" si="62"/>
        <v>-0.14403199034253783</v>
      </c>
      <c r="K155" s="148">
        <f t="shared" si="62"/>
        <v>-0.29796391695100449</v>
      </c>
      <c r="L155" s="148">
        <f t="shared" si="62"/>
        <v>-0.22865944027344742</v>
      </c>
      <c r="M155" s="149">
        <f t="shared" si="62"/>
        <v>-0.10681048122767142</v>
      </c>
    </row>
    <row r="156" spans="3:13">
      <c r="C156" s="14" t="s">
        <v>56</v>
      </c>
      <c r="D156" s="138">
        <f t="shared" ref="D156:M156" si="63">(D118-D82)/D82</f>
        <v>0.2116574198074104</v>
      </c>
      <c r="E156" s="138">
        <f t="shared" si="63"/>
        <v>0.4939124712076341</v>
      </c>
      <c r="F156" s="138">
        <f t="shared" si="63"/>
        <v>0.23347715909869199</v>
      </c>
      <c r="G156" s="138">
        <f t="shared" si="63"/>
        <v>0.29955242966751916</v>
      </c>
      <c r="H156" s="138">
        <f t="shared" si="63"/>
        <v>-7.6108192593235799E-2</v>
      </c>
      <c r="I156" s="138">
        <f t="shared" si="63"/>
        <v>0.10077656715977205</v>
      </c>
      <c r="J156" s="138">
        <f t="shared" si="63"/>
        <v>-6.1476049305663909E-2</v>
      </c>
      <c r="K156" s="138">
        <f t="shared" si="63"/>
        <v>-0.15761799290511935</v>
      </c>
      <c r="L156" s="138">
        <f t="shared" si="63"/>
        <v>-0.13151059261594833</v>
      </c>
      <c r="M156" s="139">
        <f t="shared" si="63"/>
        <v>5.390487150826502E-2</v>
      </c>
    </row>
    <row r="157" spans="3:13">
      <c r="C157" s="15" t="s">
        <v>57</v>
      </c>
      <c r="D157" s="140">
        <f t="shared" ref="D157:M157" si="64">(D119-D83)/D83</f>
        <v>4.9228648173239201E-2</v>
      </c>
      <c r="E157" s="140">
        <f t="shared" si="64"/>
        <v>-0.38513371236049687</v>
      </c>
      <c r="F157" s="140">
        <f t="shared" si="64"/>
        <v>0.20826259196378058</v>
      </c>
      <c r="G157" s="140">
        <f t="shared" si="64"/>
        <v>-0.12703804347826086</v>
      </c>
      <c r="H157" s="140">
        <f t="shared" si="64"/>
        <v>-0.28654292343387472</v>
      </c>
      <c r="I157" s="140">
        <f t="shared" si="64"/>
        <v>-5.1662035607697616E-2</v>
      </c>
      <c r="J157" s="140">
        <f t="shared" si="64"/>
        <v>-0.35185487824807976</v>
      </c>
      <c r="K157" s="140">
        <f t="shared" si="64"/>
        <v>-0.35918821239922155</v>
      </c>
      <c r="L157" s="140">
        <f t="shared" si="64"/>
        <v>-0.3809226403892268</v>
      </c>
      <c r="M157" s="141">
        <f t="shared" si="64"/>
        <v>-0.17270169919911096</v>
      </c>
    </row>
    <row r="158" spans="3:13">
      <c r="C158" s="14" t="s">
        <v>58</v>
      </c>
      <c r="D158" s="138">
        <f t="shared" ref="D158:M158" si="65">(D120-D84)/D84</f>
        <v>-1.9856001799977499E-2</v>
      </c>
      <c r="E158" s="138">
        <f t="shared" si="65"/>
        <v>-0.41465941465941453</v>
      </c>
      <c r="F158" s="138">
        <f t="shared" si="65"/>
        <v>0.17989872933982995</v>
      </c>
      <c r="G158" s="138">
        <f t="shared" si="65"/>
        <v>2.5056947608200455E-2</v>
      </c>
      <c r="H158" s="138">
        <f t="shared" si="65"/>
        <v>-0.30212804005722438</v>
      </c>
      <c r="I158" s="138">
        <f t="shared" si="65"/>
        <v>-0.10460130436349198</v>
      </c>
      <c r="J158" s="138">
        <f t="shared" si="65"/>
        <v>-0.23592550167578805</v>
      </c>
      <c r="K158" s="138">
        <f t="shared" si="65"/>
        <v>-0.30841924398625425</v>
      </c>
      <c r="L158" s="138">
        <f t="shared" si="65"/>
        <v>-0.33887630689045389</v>
      </c>
      <c r="M158" s="139">
        <f t="shared" si="65"/>
        <v>-0.15543392527297523</v>
      </c>
    </row>
    <row r="159" spans="3:13">
      <c r="C159" s="14" t="s">
        <v>59</v>
      </c>
      <c r="D159" s="138">
        <f t="shared" ref="D159:M159" si="66">(D121-D85)/D85</f>
        <v>-0.11472586681671325</v>
      </c>
      <c r="E159" s="138">
        <f t="shared" si="66"/>
        <v>-0.21456377375772842</v>
      </c>
      <c r="F159" s="138">
        <f t="shared" si="66"/>
        <v>0.30949122646960459</v>
      </c>
      <c r="G159" s="138">
        <f t="shared" si="66"/>
        <v>-0.26776295376977971</v>
      </c>
      <c r="H159" s="138">
        <f t="shared" si="66"/>
        <v>-0.24393577738335664</v>
      </c>
      <c r="I159" s="138">
        <f t="shared" si="66"/>
        <v>3.796115369841533E-2</v>
      </c>
      <c r="J159" s="138">
        <f t="shared" si="66"/>
        <v>-0.20556359794984155</v>
      </c>
      <c r="K159" s="138">
        <f t="shared" si="66"/>
        <v>-0.32257043368154492</v>
      </c>
      <c r="L159" s="138">
        <f t="shared" si="66"/>
        <v>-0.29088659643760373</v>
      </c>
      <c r="M159" s="139">
        <f t="shared" si="66"/>
        <v>-0.15783783168592899</v>
      </c>
    </row>
    <row r="160" spans="3:13">
      <c r="C160" s="14" t="s">
        <v>60</v>
      </c>
      <c r="D160" s="138">
        <f t="shared" ref="D160:M160" si="67">(D122-D86)/D86</f>
        <v>3.9089686935154661E-2</v>
      </c>
      <c r="E160" s="138">
        <f t="shared" si="67"/>
        <v>-5.4175061562569855E-2</v>
      </c>
      <c r="F160" s="138">
        <f t="shared" si="67"/>
        <v>0.28317293671624383</v>
      </c>
      <c r="G160" s="138">
        <f t="shared" si="67"/>
        <v>-0.18847109108762175</v>
      </c>
      <c r="H160" s="138">
        <f t="shared" si="67"/>
        <v>-0.17463906766394155</v>
      </c>
      <c r="I160" s="138">
        <f t="shared" si="67"/>
        <v>8.4034012635979455E-2</v>
      </c>
      <c r="J160" s="138">
        <f t="shared" si="67"/>
        <v>-0.19160523003416477</v>
      </c>
      <c r="K160" s="138">
        <f t="shared" si="67"/>
        <v>-0.1862911709961963</v>
      </c>
      <c r="L160" s="138">
        <f t="shared" si="67"/>
        <v>-0.24133407920371908</v>
      </c>
      <c r="M160" s="139">
        <f t="shared" si="67"/>
        <v>-9.1694078277459165E-2</v>
      </c>
    </row>
    <row r="161" spans="3:13">
      <c r="C161" s="77" t="s">
        <v>26</v>
      </c>
      <c r="D161" s="142">
        <f t="shared" ref="D161:M161" si="68">(D123-D87)/D87</f>
        <v>8.3957385581187913E-2</v>
      </c>
      <c r="E161" s="142">
        <f t="shared" si="68"/>
        <v>-0.14694863678762027</v>
      </c>
      <c r="F161" s="142">
        <f t="shared" si="68"/>
        <v>0.26722969615579778</v>
      </c>
      <c r="G161" s="142">
        <f t="shared" si="68"/>
        <v>0.10341880495772626</v>
      </c>
      <c r="H161" s="142">
        <f t="shared" si="68"/>
        <v>-0.16657238899617008</v>
      </c>
      <c r="I161" s="142">
        <f t="shared" si="68"/>
        <v>7.1367545996204665E-2</v>
      </c>
      <c r="J161" s="142">
        <f t="shared" si="68"/>
        <v>-0.15537650618679499</v>
      </c>
      <c r="K161" s="142">
        <f t="shared" si="68"/>
        <v>-0.23045237290253009</v>
      </c>
      <c r="L161" s="142">
        <f t="shared" si="68"/>
        <v>-0.22869049417621698</v>
      </c>
      <c r="M161" s="143">
        <f t="shared" si="68"/>
        <v>-4.6142088362716584E-2</v>
      </c>
    </row>
  </sheetData>
  <pageMargins left="0.7" right="0.7" top="0.75" bottom="0.75" header="0.3" footer="0.3"/>
  <ignoredErrors>
    <ignoredError sqref="D9:L16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E411-8EAF-CC41-B6F3-A055F5A1E024}">
  <dimension ref="B2:M113"/>
  <sheetViews>
    <sheetView topLeftCell="A64" zoomScale="90" zoomScaleNormal="90" workbookViewId="0">
      <selection activeCell="M90" sqref="M90"/>
    </sheetView>
  </sheetViews>
  <sheetFormatPr defaultColWidth="11" defaultRowHeight="15.75"/>
  <cols>
    <col min="1" max="1" width="3.625" customWidth="1"/>
    <col min="2" max="2" width="4.125" customWidth="1"/>
    <col min="3" max="3" width="22" customWidth="1"/>
    <col min="4" max="13" width="9.375" customWidth="1"/>
  </cols>
  <sheetData>
    <row r="2" spans="3:4" ht="18.75">
      <c r="C2" s="1" t="s">
        <v>122</v>
      </c>
    </row>
    <row r="3" spans="3:4" ht="18.75">
      <c r="C3" s="1" t="s">
        <v>1</v>
      </c>
    </row>
    <row r="4" spans="3:4" ht="18.75">
      <c r="C4" s="1" t="s">
        <v>62</v>
      </c>
    </row>
    <row r="6" spans="3:4" ht="45.75" thickBot="1">
      <c r="C6" s="79" t="s">
        <v>123</v>
      </c>
      <c r="D6" s="84" t="s">
        <v>124</v>
      </c>
    </row>
    <row r="7" spans="3:4" ht="16.5" thickTop="1">
      <c r="C7" s="80" t="s">
        <v>110</v>
      </c>
      <c r="D7" s="82">
        <v>9.6231581317529784</v>
      </c>
    </row>
    <row r="8" spans="3:4">
      <c r="C8" s="80" t="s">
        <v>111</v>
      </c>
      <c r="D8" s="82">
        <v>5.3987990504151568</v>
      </c>
    </row>
    <row r="9" spans="3:4">
      <c r="C9" s="80" t="s">
        <v>112</v>
      </c>
      <c r="D9" s="82">
        <v>2.8584939356922159</v>
      </c>
    </row>
    <row r="10" spans="3:4">
      <c r="C10" s="80" t="s">
        <v>113</v>
      </c>
      <c r="D10" s="82">
        <v>3.3737917387632805</v>
      </c>
    </row>
    <row r="11" spans="3:4">
      <c r="C11" s="80" t="s">
        <v>114</v>
      </c>
      <c r="D11" s="82">
        <v>5.5898063415920083</v>
      </c>
    </row>
    <row r="12" spans="3:4">
      <c r="C12" s="80" t="s">
        <v>115</v>
      </c>
      <c r="D12" s="82">
        <v>3.614426828195572</v>
      </c>
    </row>
    <row r="13" spans="3:4">
      <c r="C13" s="80" t="s">
        <v>116</v>
      </c>
      <c r="D13" s="82">
        <v>4.2401891179177156</v>
      </c>
    </row>
    <row r="14" spans="3:4">
      <c r="C14" s="80" t="s">
        <v>117</v>
      </c>
      <c r="D14" s="82">
        <v>5.3866325157044592</v>
      </c>
    </row>
    <row r="15" spans="3:4">
      <c r="C15" s="80" t="s">
        <v>118</v>
      </c>
      <c r="D15" s="82">
        <v>4.9456590003683445</v>
      </c>
    </row>
    <row r="16" spans="3:4">
      <c r="C16" s="81" t="s">
        <v>119</v>
      </c>
      <c r="D16" s="83">
        <v>5.8865336656458433</v>
      </c>
    </row>
    <row r="19" spans="3:4">
      <c r="C19" s="145" t="s">
        <v>101</v>
      </c>
    </row>
    <row r="20" spans="3:4" ht="45.75" thickBot="1">
      <c r="C20" s="79" t="s">
        <v>123</v>
      </c>
      <c r="D20" s="84" t="s">
        <v>124</v>
      </c>
    </row>
    <row r="21" spans="3:4" ht="16.5" thickTop="1">
      <c r="C21" s="80" t="s">
        <v>110</v>
      </c>
      <c r="D21" s="82">
        <v>10.05460817993333</v>
      </c>
    </row>
    <row r="22" spans="3:4">
      <c r="C22" s="80" t="s">
        <v>111</v>
      </c>
      <c r="D22" s="82">
        <v>6.9712581290435969</v>
      </c>
    </row>
    <row r="23" spans="3:4">
      <c r="C23" s="80" t="s">
        <v>112</v>
      </c>
      <c r="D23" s="82">
        <v>2.6575297202446451</v>
      </c>
    </row>
    <row r="24" spans="3:4">
      <c r="C24" s="80" t="s">
        <v>113</v>
      </c>
      <c r="D24" s="82">
        <v>3.7148329266292088</v>
      </c>
    </row>
    <row r="25" spans="3:4">
      <c r="C25" s="80" t="s">
        <v>114</v>
      </c>
      <c r="D25" s="82">
        <v>5.2317859930658743</v>
      </c>
    </row>
    <row r="26" spans="3:4">
      <c r="C26" s="80" t="s">
        <v>115</v>
      </c>
      <c r="D26" s="82">
        <v>3.8186083553174899</v>
      </c>
    </row>
    <row r="27" spans="3:4">
      <c r="C27" s="80" t="s">
        <v>116</v>
      </c>
      <c r="D27" s="82">
        <v>4.616815757717796</v>
      </c>
    </row>
    <row r="28" spans="3:4">
      <c r="C28" s="80" t="s">
        <v>117</v>
      </c>
      <c r="D28" s="82">
        <v>5.3380808484633882</v>
      </c>
    </row>
    <row r="29" spans="3:4">
      <c r="C29" s="80" t="s">
        <v>118</v>
      </c>
      <c r="D29" s="82">
        <v>5.1982749171844977</v>
      </c>
    </row>
    <row r="30" spans="3:4">
      <c r="C30" s="81" t="s">
        <v>119</v>
      </c>
      <c r="D30" s="83">
        <v>6.1536728383994772</v>
      </c>
    </row>
    <row r="33" spans="3:4">
      <c r="C33" s="145" t="s">
        <v>125</v>
      </c>
    </row>
    <row r="34" spans="3:4" ht="45.75" thickBot="1">
      <c r="C34" s="79" t="s">
        <v>123</v>
      </c>
      <c r="D34" s="84" t="s">
        <v>124</v>
      </c>
    </row>
    <row r="35" spans="3:4" ht="16.5" thickTop="1">
      <c r="C35" s="80" t="s">
        <v>110</v>
      </c>
      <c r="D35" s="146">
        <f>(D21-D7)/D7</f>
        <v>4.4834558704457038E-2</v>
      </c>
    </row>
    <row r="36" spans="3:4">
      <c r="C36" s="80" t="s">
        <v>111</v>
      </c>
      <c r="D36" s="146">
        <f t="shared" ref="D36:D44" si="0">(D22-D8)/D8</f>
        <v>0.29126090153467021</v>
      </c>
    </row>
    <row r="37" spans="3:4">
      <c r="C37" s="80" t="s">
        <v>112</v>
      </c>
      <c r="D37" s="146">
        <f t="shared" si="0"/>
        <v>-7.0304230118614933E-2</v>
      </c>
    </row>
    <row r="38" spans="3:4">
      <c r="C38" s="80" t="s">
        <v>113</v>
      </c>
      <c r="D38" s="146">
        <f t="shared" si="0"/>
        <v>0.10108542976957512</v>
      </c>
    </row>
    <row r="39" spans="3:4">
      <c r="C39" s="80" t="s">
        <v>114</v>
      </c>
      <c r="D39" s="146">
        <f t="shared" si="0"/>
        <v>-6.4048792864650081E-2</v>
      </c>
    </row>
    <row r="40" spans="3:4">
      <c r="C40" s="80" t="s">
        <v>115</v>
      </c>
      <c r="D40" s="146">
        <f t="shared" si="0"/>
        <v>5.649070705460961E-2</v>
      </c>
    </row>
    <row r="41" spans="3:4">
      <c r="C41" s="80" t="s">
        <v>116</v>
      </c>
      <c r="D41" s="146">
        <f t="shared" si="0"/>
        <v>8.8823075887953615E-2</v>
      </c>
    </row>
    <row r="42" spans="3:4">
      <c r="C42" s="80" t="s">
        <v>117</v>
      </c>
      <c r="D42" s="146">
        <f t="shared" si="0"/>
        <v>-9.0133617059491439E-3</v>
      </c>
    </row>
    <row r="43" spans="3:4">
      <c r="C43" s="80" t="s">
        <v>118</v>
      </c>
      <c r="D43" s="146">
        <f t="shared" si="0"/>
        <v>5.107831267730728E-2</v>
      </c>
    </row>
    <row r="44" spans="3:4">
      <c r="C44" s="81" t="s">
        <v>119</v>
      </c>
      <c r="D44" s="147">
        <f t="shared" si="0"/>
        <v>4.5381405752025809E-2</v>
      </c>
    </row>
    <row r="53" spans="2:13" ht="18.75">
      <c r="C53" s="1" t="s">
        <v>126</v>
      </c>
    </row>
    <row r="54" spans="2:13" ht="18.75">
      <c r="C54" s="1" t="s">
        <v>1</v>
      </c>
    </row>
    <row r="55" spans="2:13" ht="18.75">
      <c r="C55" s="1" t="s">
        <v>62</v>
      </c>
    </row>
    <row r="56" spans="2:13" s="85" customFormat="1" ht="15">
      <c r="B56" s="187"/>
      <c r="C56" s="187" t="s">
        <v>127</v>
      </c>
      <c r="D56" s="187"/>
      <c r="E56" s="187"/>
      <c r="F56" s="187"/>
      <c r="G56" s="187"/>
      <c r="H56" s="187"/>
      <c r="I56" s="187"/>
      <c r="J56" s="187"/>
      <c r="K56" s="187"/>
      <c r="L56" s="187"/>
      <c r="M56" s="187"/>
    </row>
    <row r="57" spans="2:13" s="85" customFormat="1" ht="15"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</row>
    <row r="58" spans="2:13" s="85" customFormat="1" ht="15">
      <c r="B58" s="187"/>
      <c r="C58" s="189"/>
      <c r="D58" s="243" t="s">
        <v>128</v>
      </c>
      <c r="E58" s="243"/>
      <c r="F58" s="243"/>
      <c r="G58" s="243"/>
      <c r="H58" s="243"/>
      <c r="I58" s="243"/>
      <c r="J58" s="243"/>
      <c r="K58" s="243"/>
      <c r="L58" s="243"/>
      <c r="M58" s="200"/>
    </row>
    <row r="59" spans="2:13" s="86" customFormat="1" ht="30.75" thickBot="1">
      <c r="B59" s="201"/>
      <c r="C59" s="202"/>
      <c r="D59" s="202" t="s">
        <v>17</v>
      </c>
      <c r="E59" s="202" t="s">
        <v>18</v>
      </c>
      <c r="F59" s="202" t="s">
        <v>19</v>
      </c>
      <c r="G59" s="202" t="s">
        <v>20</v>
      </c>
      <c r="H59" s="202" t="s">
        <v>21</v>
      </c>
      <c r="I59" s="202" t="s">
        <v>22</v>
      </c>
      <c r="J59" s="202" t="s">
        <v>23</v>
      </c>
      <c r="K59" s="202" t="s">
        <v>24</v>
      </c>
      <c r="L59" s="202" t="s">
        <v>25</v>
      </c>
      <c r="M59" s="203" t="s">
        <v>26</v>
      </c>
    </row>
    <row r="60" spans="2:13" s="85" customFormat="1" thickTop="1">
      <c r="B60" s="242" t="s">
        <v>129</v>
      </c>
      <c r="C60" s="187" t="s">
        <v>17</v>
      </c>
      <c r="D60" s="182">
        <v>377800</v>
      </c>
      <c r="E60" s="182">
        <v>59100</v>
      </c>
      <c r="F60" s="182">
        <v>57900</v>
      </c>
      <c r="G60" s="182">
        <v>43000</v>
      </c>
      <c r="H60" s="182">
        <v>7300</v>
      </c>
      <c r="I60" s="182">
        <v>500</v>
      </c>
      <c r="J60" s="182">
        <v>200</v>
      </c>
      <c r="K60" s="182">
        <v>200</v>
      </c>
      <c r="L60" s="204">
        <v>5100</v>
      </c>
      <c r="M60" s="182">
        <f>SUM(D60:L60)</f>
        <v>551100</v>
      </c>
    </row>
    <row r="61" spans="2:13" s="85" customFormat="1" ht="15">
      <c r="B61" s="242"/>
      <c r="C61" s="187" t="s">
        <v>18</v>
      </c>
      <c r="D61" s="182">
        <v>102700</v>
      </c>
      <c r="E61" s="182">
        <v>178200</v>
      </c>
      <c r="F61" s="182">
        <v>69600</v>
      </c>
      <c r="G61" s="182">
        <v>21400</v>
      </c>
      <c r="H61" s="182">
        <v>2200</v>
      </c>
      <c r="I61" s="182">
        <v>100</v>
      </c>
      <c r="J61" s="182">
        <v>0</v>
      </c>
      <c r="K61" s="182">
        <v>0</v>
      </c>
      <c r="L61" s="204">
        <v>1500</v>
      </c>
      <c r="M61" s="182">
        <f t="shared" ref="M61:M69" si="1">SUM(D61:L61)</f>
        <v>375700</v>
      </c>
    </row>
    <row r="62" spans="2:13" s="85" customFormat="1" ht="15">
      <c r="B62" s="242"/>
      <c r="C62" s="187" t="s">
        <v>19</v>
      </c>
      <c r="D62" s="182">
        <v>26300</v>
      </c>
      <c r="E62" s="182">
        <v>57300</v>
      </c>
      <c r="F62" s="182">
        <v>859200</v>
      </c>
      <c r="G62" s="182">
        <v>74100</v>
      </c>
      <c r="H62" s="182">
        <v>1400</v>
      </c>
      <c r="I62" s="182">
        <v>0</v>
      </c>
      <c r="J62" s="182">
        <v>0</v>
      </c>
      <c r="K62" s="182">
        <v>0</v>
      </c>
      <c r="L62" s="204">
        <v>100</v>
      </c>
      <c r="M62" s="182">
        <f t="shared" si="1"/>
        <v>1018400</v>
      </c>
    </row>
    <row r="63" spans="2:13" s="85" customFormat="1" ht="15">
      <c r="B63" s="242"/>
      <c r="C63" s="187" t="s">
        <v>20</v>
      </c>
      <c r="D63" s="182">
        <v>90700</v>
      </c>
      <c r="E63" s="182">
        <v>31300</v>
      </c>
      <c r="F63" s="182">
        <v>73400</v>
      </c>
      <c r="G63" s="182">
        <v>484100</v>
      </c>
      <c r="H63" s="182">
        <v>45600</v>
      </c>
      <c r="I63" s="182">
        <v>3000</v>
      </c>
      <c r="J63" s="182">
        <v>1000</v>
      </c>
      <c r="K63" s="182">
        <v>100</v>
      </c>
      <c r="L63" s="204">
        <v>2200</v>
      </c>
      <c r="M63" s="182">
        <f t="shared" si="1"/>
        <v>731400</v>
      </c>
    </row>
    <row r="64" spans="2:13" s="85" customFormat="1" ht="15">
      <c r="B64" s="242"/>
      <c r="C64" s="187" t="s">
        <v>21</v>
      </c>
      <c r="D64" s="182">
        <v>50100</v>
      </c>
      <c r="E64" s="182">
        <v>9800</v>
      </c>
      <c r="F64" s="182">
        <v>14200</v>
      </c>
      <c r="G64" s="182">
        <v>119700</v>
      </c>
      <c r="H64" s="182">
        <v>264400</v>
      </c>
      <c r="I64" s="182">
        <v>15300</v>
      </c>
      <c r="J64" s="182">
        <v>3200</v>
      </c>
      <c r="K64" s="182">
        <v>400</v>
      </c>
      <c r="L64" s="204">
        <v>4000</v>
      </c>
      <c r="M64" s="182">
        <f t="shared" si="1"/>
        <v>481100</v>
      </c>
    </row>
    <row r="65" spans="2:13" s="85" customFormat="1" ht="15">
      <c r="B65" s="242"/>
      <c r="C65" s="187" t="s">
        <v>22</v>
      </c>
      <c r="D65" s="182">
        <v>6500</v>
      </c>
      <c r="E65" s="182">
        <v>400</v>
      </c>
      <c r="F65" s="182">
        <v>200</v>
      </c>
      <c r="G65" s="182">
        <v>9700</v>
      </c>
      <c r="H65" s="182">
        <v>23300</v>
      </c>
      <c r="I65" s="182">
        <v>108700</v>
      </c>
      <c r="J65" s="182">
        <v>13000</v>
      </c>
      <c r="K65" s="182">
        <v>1300</v>
      </c>
      <c r="L65" s="204">
        <v>1800</v>
      </c>
      <c r="M65" s="182">
        <f t="shared" si="1"/>
        <v>164900</v>
      </c>
    </row>
    <row r="66" spans="2:13" s="85" customFormat="1" ht="15">
      <c r="B66" s="242"/>
      <c r="C66" s="187" t="s">
        <v>23</v>
      </c>
      <c r="D66" s="182">
        <v>1500</v>
      </c>
      <c r="E66" s="182">
        <v>100</v>
      </c>
      <c r="F66" s="182">
        <v>0</v>
      </c>
      <c r="G66" s="182">
        <v>2100</v>
      </c>
      <c r="H66" s="182">
        <v>3900</v>
      </c>
      <c r="I66" s="182">
        <v>7500</v>
      </c>
      <c r="J66" s="182">
        <v>32900</v>
      </c>
      <c r="K66" s="182">
        <v>4100</v>
      </c>
      <c r="L66" s="204">
        <v>1100</v>
      </c>
      <c r="M66" s="182">
        <f t="shared" si="1"/>
        <v>53200</v>
      </c>
    </row>
    <row r="67" spans="2:13" s="85" customFormat="1" ht="15">
      <c r="B67" s="242"/>
      <c r="C67" s="187" t="s">
        <v>24</v>
      </c>
      <c r="D67" s="182">
        <v>4200</v>
      </c>
      <c r="E67" s="182">
        <v>300</v>
      </c>
      <c r="F67" s="182">
        <v>0</v>
      </c>
      <c r="G67" s="182">
        <v>1500</v>
      </c>
      <c r="H67" s="182">
        <v>1800</v>
      </c>
      <c r="I67" s="182">
        <v>2000</v>
      </c>
      <c r="J67" s="182">
        <v>5400</v>
      </c>
      <c r="K67" s="182">
        <v>161500</v>
      </c>
      <c r="L67" s="204">
        <v>12400</v>
      </c>
      <c r="M67" s="182">
        <f t="shared" si="1"/>
        <v>189100</v>
      </c>
    </row>
    <row r="68" spans="2:13" s="85" customFormat="1" ht="15">
      <c r="B68" s="242"/>
      <c r="C68" s="192" t="s">
        <v>25</v>
      </c>
      <c r="D68" s="182">
        <v>35300</v>
      </c>
      <c r="E68" s="182">
        <v>3100</v>
      </c>
      <c r="F68" s="182">
        <v>200</v>
      </c>
      <c r="G68" s="182">
        <v>10200</v>
      </c>
      <c r="H68" s="182">
        <v>8900</v>
      </c>
      <c r="I68" s="182">
        <v>1500</v>
      </c>
      <c r="J68" s="182">
        <v>1000</v>
      </c>
      <c r="K68" s="182">
        <v>4200</v>
      </c>
      <c r="L68" s="204">
        <v>54200</v>
      </c>
      <c r="M68" s="182">
        <f t="shared" si="1"/>
        <v>118600</v>
      </c>
    </row>
    <row r="69" spans="2:13" s="85" customFormat="1" ht="15">
      <c r="B69" s="187"/>
      <c r="C69" s="205" t="s">
        <v>26</v>
      </c>
      <c r="D69" s="206">
        <f>SUM(D60:D68)</f>
        <v>695100</v>
      </c>
      <c r="E69" s="206">
        <f t="shared" ref="E69:L69" si="2">SUM(E60:E68)</f>
        <v>339600</v>
      </c>
      <c r="F69" s="206">
        <f t="shared" si="2"/>
        <v>1074700</v>
      </c>
      <c r="G69" s="206">
        <f t="shared" si="2"/>
        <v>765800</v>
      </c>
      <c r="H69" s="206">
        <f t="shared" si="2"/>
        <v>358800</v>
      </c>
      <c r="I69" s="206">
        <f t="shared" si="2"/>
        <v>138600</v>
      </c>
      <c r="J69" s="206">
        <f t="shared" si="2"/>
        <v>56700</v>
      </c>
      <c r="K69" s="206">
        <f t="shared" si="2"/>
        <v>171800</v>
      </c>
      <c r="L69" s="207">
        <f t="shared" si="2"/>
        <v>82400</v>
      </c>
      <c r="M69" s="206">
        <f t="shared" si="1"/>
        <v>3683500</v>
      </c>
    </row>
    <row r="70" spans="2:13" s="85" customFormat="1" ht="15" hidden="1">
      <c r="B70" s="187"/>
      <c r="C70" s="187"/>
      <c r="D70" s="182"/>
      <c r="E70" s="182"/>
      <c r="F70" s="182"/>
      <c r="G70" s="182"/>
      <c r="H70" s="182"/>
      <c r="I70" s="182"/>
      <c r="J70" s="182"/>
      <c r="K70" s="182"/>
      <c r="L70" s="182"/>
      <c r="M70" s="182"/>
    </row>
    <row r="71" spans="2:13" hidden="1"/>
    <row r="72" spans="2:13" hidden="1">
      <c r="C72" s="124" t="s">
        <v>130</v>
      </c>
    </row>
    <row r="73" spans="2:13" hidden="1">
      <c r="C73" s="189"/>
      <c r="D73" s="243" t="s">
        <v>128</v>
      </c>
      <c r="E73" s="243"/>
      <c r="F73" s="243"/>
      <c r="G73" s="243"/>
      <c r="H73" s="243"/>
      <c r="I73" s="243"/>
      <c r="J73" s="243"/>
      <c r="K73" s="243"/>
      <c r="L73" s="243"/>
      <c r="M73" s="200"/>
    </row>
    <row r="74" spans="2:13" ht="30.75" hidden="1" thickBot="1">
      <c r="C74" s="202"/>
      <c r="D74" s="202" t="s">
        <v>17</v>
      </c>
      <c r="E74" s="202" t="s">
        <v>18</v>
      </c>
      <c r="F74" s="202" t="s">
        <v>19</v>
      </c>
      <c r="G74" s="202" t="s">
        <v>20</v>
      </c>
      <c r="H74" s="202" t="s">
        <v>21</v>
      </c>
      <c r="I74" s="202" t="s">
        <v>22</v>
      </c>
      <c r="J74" s="202" t="s">
        <v>23</v>
      </c>
      <c r="K74" s="202" t="s">
        <v>24</v>
      </c>
      <c r="L74" s="202" t="s">
        <v>25</v>
      </c>
      <c r="M74" s="203" t="s">
        <v>26</v>
      </c>
    </row>
    <row r="75" spans="2:13" ht="16.5" hidden="1" thickTop="1">
      <c r="C75" s="187" t="s">
        <v>17</v>
      </c>
      <c r="D75" s="208">
        <f>D60/$M60</f>
        <v>0.68553801487933219</v>
      </c>
      <c r="E75" s="208">
        <f t="shared" ref="E75:M75" si="3">E60/$M60</f>
        <v>0.10724006532389765</v>
      </c>
      <c r="F75" s="208">
        <f t="shared" si="3"/>
        <v>0.1050626020685901</v>
      </c>
      <c r="G75" s="208">
        <f t="shared" si="3"/>
        <v>7.8025766648521136E-2</v>
      </c>
      <c r="H75" s="208">
        <f t="shared" si="3"/>
        <v>1.3246234803121031E-2</v>
      </c>
      <c r="I75" s="208">
        <f t="shared" si="3"/>
        <v>9.0727635637815284E-4</v>
      </c>
      <c r="J75" s="208">
        <f t="shared" si="3"/>
        <v>3.6291054255126111E-4</v>
      </c>
      <c r="K75" s="208">
        <f t="shared" si="3"/>
        <v>3.6291054255126111E-4</v>
      </c>
      <c r="L75" s="209">
        <f t="shared" si="3"/>
        <v>9.2542188350571587E-3</v>
      </c>
      <c r="M75" s="208">
        <f t="shared" si="3"/>
        <v>1</v>
      </c>
    </row>
    <row r="76" spans="2:13" hidden="1">
      <c r="C76" s="187" t="s">
        <v>18</v>
      </c>
      <c r="D76" s="208">
        <f t="shared" ref="D76:M76" si="4">D61/$M61</f>
        <v>0.27335640138408307</v>
      </c>
      <c r="E76" s="208">
        <f t="shared" si="4"/>
        <v>0.47431461272291719</v>
      </c>
      <c r="F76" s="208">
        <f t="shared" si="4"/>
        <v>0.1852541921746074</v>
      </c>
      <c r="G76" s="208">
        <f t="shared" si="4"/>
        <v>5.6960340697364921E-2</v>
      </c>
      <c r="H76" s="208">
        <f t="shared" si="4"/>
        <v>5.8557359595421878E-3</v>
      </c>
      <c r="I76" s="208">
        <f t="shared" si="4"/>
        <v>2.6616981634282674E-4</v>
      </c>
      <c r="J76" s="208">
        <f t="shared" si="4"/>
        <v>0</v>
      </c>
      <c r="K76" s="208">
        <f t="shared" si="4"/>
        <v>0</v>
      </c>
      <c r="L76" s="209">
        <f t="shared" si="4"/>
        <v>3.9925472451424011E-3</v>
      </c>
      <c r="M76" s="208">
        <f t="shared" si="4"/>
        <v>1</v>
      </c>
    </row>
    <row r="77" spans="2:13" hidden="1">
      <c r="C77" s="187" t="s">
        <v>19</v>
      </c>
      <c r="D77" s="208">
        <f t="shared" ref="D77:M77" si="5">D62/$M62</f>
        <v>2.5824823252160251E-2</v>
      </c>
      <c r="E77" s="208">
        <f t="shared" si="5"/>
        <v>5.6264728986645716E-2</v>
      </c>
      <c r="F77" s="208">
        <f t="shared" si="5"/>
        <v>0.84367635506677141</v>
      </c>
      <c r="G77" s="208">
        <f t="shared" si="5"/>
        <v>7.2761194029850748E-2</v>
      </c>
      <c r="H77" s="208">
        <f t="shared" si="5"/>
        <v>1.3747054202670856E-3</v>
      </c>
      <c r="I77" s="208">
        <f t="shared" si="5"/>
        <v>0</v>
      </c>
      <c r="J77" s="208">
        <f t="shared" si="5"/>
        <v>0</v>
      </c>
      <c r="K77" s="208">
        <f t="shared" si="5"/>
        <v>0</v>
      </c>
      <c r="L77" s="209">
        <f t="shared" si="5"/>
        <v>9.8193244304791837E-5</v>
      </c>
      <c r="M77" s="208">
        <f t="shared" si="5"/>
        <v>1</v>
      </c>
    </row>
    <row r="78" spans="2:13" hidden="1">
      <c r="C78" s="187" t="s">
        <v>20</v>
      </c>
      <c r="D78" s="208">
        <f t="shared" ref="D78:M78" si="6">D63/$M63</f>
        <v>0.12400875034181023</v>
      </c>
      <c r="E78" s="208">
        <f t="shared" si="6"/>
        <v>4.2794640415641239E-2</v>
      </c>
      <c r="F78" s="208">
        <f t="shared" si="6"/>
        <v>0.10035548263604047</v>
      </c>
      <c r="G78" s="208">
        <f t="shared" si="6"/>
        <v>0.66188132348919881</v>
      </c>
      <c r="H78" s="208">
        <f t="shared" si="6"/>
        <v>6.2346185397867106E-2</v>
      </c>
      <c r="I78" s="208">
        <f t="shared" si="6"/>
        <v>4.1017227235438884E-3</v>
      </c>
      <c r="J78" s="208">
        <f t="shared" si="6"/>
        <v>1.3672409078479629E-3</v>
      </c>
      <c r="K78" s="208">
        <f t="shared" si="6"/>
        <v>1.3672409078479628E-4</v>
      </c>
      <c r="L78" s="209">
        <f t="shared" si="6"/>
        <v>3.0079299972655183E-3</v>
      </c>
      <c r="M78" s="208">
        <f t="shared" si="6"/>
        <v>1</v>
      </c>
    </row>
    <row r="79" spans="2:13" hidden="1">
      <c r="C79" s="187" t="s">
        <v>21</v>
      </c>
      <c r="D79" s="208">
        <f t="shared" ref="D79:M79" si="7">D64/$M64</f>
        <v>0.10413635418831843</v>
      </c>
      <c r="E79" s="208">
        <f t="shared" si="7"/>
        <v>2.0369985450010394E-2</v>
      </c>
      <c r="F79" s="208">
        <f t="shared" si="7"/>
        <v>2.9515693203076284E-2</v>
      </c>
      <c r="G79" s="208">
        <f t="shared" si="7"/>
        <v>0.2488048222822698</v>
      </c>
      <c r="H79" s="208">
        <f t="shared" si="7"/>
        <v>0.54957389316150485</v>
      </c>
      <c r="I79" s="208">
        <f t="shared" si="7"/>
        <v>3.1802120141342753E-2</v>
      </c>
      <c r="J79" s="208">
        <f t="shared" si="7"/>
        <v>6.6514238204115565E-3</v>
      </c>
      <c r="K79" s="208">
        <f t="shared" si="7"/>
        <v>8.3142797755144456E-4</v>
      </c>
      <c r="L79" s="209">
        <f t="shared" si="7"/>
        <v>8.3142797755144469E-3</v>
      </c>
      <c r="M79" s="208">
        <f t="shared" si="7"/>
        <v>1</v>
      </c>
    </row>
    <row r="80" spans="2:13" hidden="1">
      <c r="C80" s="187" t="s">
        <v>22</v>
      </c>
      <c r="D80" s="208">
        <f t="shared" ref="D80:M80" si="8">D65/$M65</f>
        <v>3.9417828987265008E-2</v>
      </c>
      <c r="E80" s="208">
        <f t="shared" si="8"/>
        <v>2.4257125530624622E-3</v>
      </c>
      <c r="F80" s="208">
        <f t="shared" si="8"/>
        <v>1.2128562765312311E-3</v>
      </c>
      <c r="G80" s="208">
        <f t="shared" si="8"/>
        <v>5.8823529411764705E-2</v>
      </c>
      <c r="H80" s="208">
        <f t="shared" si="8"/>
        <v>0.14129775621588841</v>
      </c>
      <c r="I80" s="208">
        <f t="shared" si="8"/>
        <v>0.65918738629472406</v>
      </c>
      <c r="J80" s="208">
        <f t="shared" si="8"/>
        <v>7.8835657974530016E-2</v>
      </c>
      <c r="K80" s="208">
        <f t="shared" si="8"/>
        <v>7.8835657974530016E-3</v>
      </c>
      <c r="L80" s="209">
        <f t="shared" si="8"/>
        <v>1.0915706488781079E-2</v>
      </c>
      <c r="M80" s="208">
        <f t="shared" si="8"/>
        <v>1</v>
      </c>
    </row>
    <row r="81" spans="3:13" hidden="1">
      <c r="C81" s="187" t="s">
        <v>23</v>
      </c>
      <c r="D81" s="208">
        <f t="shared" ref="D81:M81" si="9">D66/$M66</f>
        <v>2.819548872180451E-2</v>
      </c>
      <c r="E81" s="208">
        <f t="shared" si="9"/>
        <v>1.8796992481203006E-3</v>
      </c>
      <c r="F81" s="208">
        <f t="shared" si="9"/>
        <v>0</v>
      </c>
      <c r="G81" s="208">
        <f t="shared" si="9"/>
        <v>3.9473684210526314E-2</v>
      </c>
      <c r="H81" s="208">
        <f t="shared" si="9"/>
        <v>7.3308270676691725E-2</v>
      </c>
      <c r="I81" s="208">
        <f t="shared" si="9"/>
        <v>0.14097744360902256</v>
      </c>
      <c r="J81" s="208">
        <f t="shared" si="9"/>
        <v>0.61842105263157898</v>
      </c>
      <c r="K81" s="208">
        <f t="shared" si="9"/>
        <v>7.7067669172932327E-2</v>
      </c>
      <c r="L81" s="209">
        <f t="shared" si="9"/>
        <v>2.0676691729323307E-2</v>
      </c>
      <c r="M81" s="208">
        <f t="shared" si="9"/>
        <v>1</v>
      </c>
    </row>
    <row r="82" spans="3:13" hidden="1">
      <c r="C82" s="187" t="s">
        <v>24</v>
      </c>
      <c r="D82" s="208">
        <f t="shared" ref="D82:M82" si="10">D67/$M67</f>
        <v>2.2210470650449499E-2</v>
      </c>
      <c r="E82" s="208">
        <f t="shared" si="10"/>
        <v>1.5864621893178213E-3</v>
      </c>
      <c r="F82" s="208">
        <f t="shared" si="10"/>
        <v>0</v>
      </c>
      <c r="G82" s="208">
        <f t="shared" si="10"/>
        <v>7.9323109465891072E-3</v>
      </c>
      <c r="H82" s="208">
        <f t="shared" si="10"/>
        <v>9.5187731359069275E-3</v>
      </c>
      <c r="I82" s="208">
        <f t="shared" si="10"/>
        <v>1.0576414595452142E-2</v>
      </c>
      <c r="J82" s="208">
        <f t="shared" si="10"/>
        <v>2.8556319407720784E-2</v>
      </c>
      <c r="K82" s="208">
        <f t="shared" si="10"/>
        <v>0.85404547858276048</v>
      </c>
      <c r="L82" s="209">
        <f t="shared" si="10"/>
        <v>6.5573770491803282E-2</v>
      </c>
      <c r="M82" s="208">
        <f t="shared" si="10"/>
        <v>1</v>
      </c>
    </row>
    <row r="83" spans="3:13" hidden="1">
      <c r="C83" s="192" t="s">
        <v>25</v>
      </c>
      <c r="D83" s="208">
        <f t="shared" ref="D83:M83" si="11">D68/$M68</f>
        <v>0.29763912310286678</v>
      </c>
      <c r="E83" s="208">
        <f t="shared" si="11"/>
        <v>2.6138279932546374E-2</v>
      </c>
      <c r="F83" s="208">
        <f t="shared" si="11"/>
        <v>1.6863406408094434E-3</v>
      </c>
      <c r="G83" s="208">
        <f t="shared" si="11"/>
        <v>8.6003372681281623E-2</v>
      </c>
      <c r="H83" s="208">
        <f t="shared" si="11"/>
        <v>7.5042158516020238E-2</v>
      </c>
      <c r="I83" s="208">
        <f t="shared" si="11"/>
        <v>1.2647554806070826E-2</v>
      </c>
      <c r="J83" s="208">
        <f t="shared" si="11"/>
        <v>8.4317032040472171E-3</v>
      </c>
      <c r="K83" s="208">
        <f t="shared" si="11"/>
        <v>3.5413153456998317E-2</v>
      </c>
      <c r="L83" s="209">
        <f t="shared" si="11"/>
        <v>0.45699831365935917</v>
      </c>
      <c r="M83" s="208">
        <f t="shared" si="11"/>
        <v>1</v>
      </c>
    </row>
    <row r="84" spans="3:13" hidden="1">
      <c r="C84" s="205" t="s">
        <v>26</v>
      </c>
      <c r="D84" s="210">
        <f t="shared" ref="D84:M84" si="12">D69/$M69</f>
        <v>0.18870639337586534</v>
      </c>
      <c r="E84" s="210">
        <f t="shared" si="12"/>
        <v>9.2194923306637713E-2</v>
      </c>
      <c r="F84" s="210">
        <f t="shared" si="12"/>
        <v>0.29176055382109406</v>
      </c>
      <c r="G84" s="210">
        <f t="shared" si="12"/>
        <v>0.20790009501832496</v>
      </c>
      <c r="H84" s="210">
        <f t="shared" si="12"/>
        <v>9.7407357133161399E-2</v>
      </c>
      <c r="I84" s="210">
        <f t="shared" si="12"/>
        <v>3.7627256685217866E-2</v>
      </c>
      <c r="J84" s="210">
        <f t="shared" si="12"/>
        <v>1.5392968643952763E-2</v>
      </c>
      <c r="K84" s="210">
        <f t="shared" si="12"/>
        <v>4.6640423510248406E-2</v>
      </c>
      <c r="L84" s="211">
        <f t="shared" si="12"/>
        <v>2.2370028505497488E-2</v>
      </c>
      <c r="M84" s="210">
        <f t="shared" si="12"/>
        <v>1</v>
      </c>
    </row>
    <row r="85" spans="3:13" hidden="1"/>
    <row r="87" spans="3:13">
      <c r="C87" s="124" t="s">
        <v>101</v>
      </c>
    </row>
    <row r="88" spans="3:13">
      <c r="C88" s="189"/>
      <c r="D88" s="243" t="s">
        <v>128</v>
      </c>
      <c r="E88" s="243"/>
      <c r="F88" s="243"/>
      <c r="G88" s="243"/>
      <c r="H88" s="243"/>
      <c r="I88" s="243"/>
      <c r="J88" s="243"/>
      <c r="K88" s="243"/>
      <c r="L88" s="243"/>
      <c r="M88" s="200"/>
    </row>
    <row r="89" spans="3:13" ht="30.75" thickBot="1">
      <c r="C89" s="202"/>
      <c r="D89" s="202" t="s">
        <v>17</v>
      </c>
      <c r="E89" s="202" t="s">
        <v>18</v>
      </c>
      <c r="F89" s="202" t="s">
        <v>19</v>
      </c>
      <c r="G89" s="202" t="s">
        <v>20</v>
      </c>
      <c r="H89" s="202" t="s">
        <v>21</v>
      </c>
      <c r="I89" s="202" t="s">
        <v>22</v>
      </c>
      <c r="J89" s="202" t="s">
        <v>23</v>
      </c>
      <c r="K89" s="202" t="s">
        <v>24</v>
      </c>
      <c r="L89" s="202" t="s">
        <v>25</v>
      </c>
      <c r="M89" s="203" t="s">
        <v>26</v>
      </c>
    </row>
    <row r="90" spans="3:13" ht="16.5" thickTop="1">
      <c r="C90" s="187" t="s">
        <v>17</v>
      </c>
      <c r="D90" s="182">
        <v>440180</v>
      </c>
      <c r="E90" s="182">
        <v>45960</v>
      </c>
      <c r="F90" s="182">
        <v>54580</v>
      </c>
      <c r="G90" s="182">
        <v>39986.666666666672</v>
      </c>
      <c r="H90" s="182">
        <v>4253.3333333333339</v>
      </c>
      <c r="I90" s="182">
        <v>306.66666666666669</v>
      </c>
      <c r="J90" s="182">
        <v>173.33333333333329</v>
      </c>
      <c r="K90" s="182">
        <v>200</v>
      </c>
      <c r="L90" s="204">
        <v>6173.3333333333339</v>
      </c>
      <c r="M90" s="182">
        <f>SUM(D90:L90)</f>
        <v>591813.33333333337</v>
      </c>
    </row>
    <row r="91" spans="3:13">
      <c r="C91" s="187" t="s">
        <v>18</v>
      </c>
      <c r="D91" s="182">
        <v>106126.6666666667</v>
      </c>
      <c r="E91" s="182">
        <v>217406.66666666669</v>
      </c>
      <c r="F91" s="182">
        <v>66333.333333333343</v>
      </c>
      <c r="G91" s="182">
        <v>15120</v>
      </c>
      <c r="H91" s="182">
        <v>1893.333333333333</v>
      </c>
      <c r="I91" s="182">
        <v>126.6666666666667</v>
      </c>
      <c r="J91" s="182">
        <v>53.333333333333343</v>
      </c>
      <c r="K91" s="182">
        <v>80</v>
      </c>
      <c r="L91" s="204">
        <v>1253.333333333333</v>
      </c>
      <c r="M91" s="182">
        <f t="shared" ref="M91:M99" si="13">SUM(D91:L91)</f>
        <v>408393.33333333337</v>
      </c>
    </row>
    <row r="92" spans="3:13">
      <c r="C92" s="187" t="s">
        <v>19</v>
      </c>
      <c r="D92" s="182">
        <v>32100</v>
      </c>
      <c r="E92" s="182">
        <v>54913.333333333343</v>
      </c>
      <c r="F92" s="182">
        <v>934766.66666666674</v>
      </c>
      <c r="G92" s="182">
        <v>61906.666666666672</v>
      </c>
      <c r="H92" s="182">
        <v>1386.666666666667</v>
      </c>
      <c r="I92" s="182">
        <v>26.666666666666671</v>
      </c>
      <c r="J92" s="182">
        <v>6.666666666666667</v>
      </c>
      <c r="K92" s="182">
        <v>0</v>
      </c>
      <c r="L92" s="204">
        <v>73.333333333333343</v>
      </c>
      <c r="M92" s="182">
        <f t="shared" si="13"/>
        <v>1085180.0000000002</v>
      </c>
    </row>
    <row r="93" spans="3:13">
      <c r="C93" s="187" t="s">
        <v>20</v>
      </c>
      <c r="D93" s="182">
        <v>93173.333333333343</v>
      </c>
      <c r="E93" s="182">
        <v>32920</v>
      </c>
      <c r="F93" s="182">
        <v>62360</v>
      </c>
      <c r="G93" s="182">
        <v>558320</v>
      </c>
      <c r="H93" s="182">
        <v>43480</v>
      </c>
      <c r="I93" s="182">
        <v>1226.666666666667</v>
      </c>
      <c r="J93" s="182">
        <v>406.66666666666669</v>
      </c>
      <c r="K93" s="182">
        <v>260</v>
      </c>
      <c r="L93" s="204">
        <v>2006.666666666667</v>
      </c>
      <c r="M93" s="182">
        <f t="shared" si="13"/>
        <v>794153.33333333326</v>
      </c>
    </row>
    <row r="94" spans="3:13">
      <c r="C94" s="187" t="s">
        <v>21</v>
      </c>
      <c r="D94" s="182">
        <v>43160</v>
      </c>
      <c r="E94" s="182">
        <v>10373.33333333333</v>
      </c>
      <c r="F94" s="182">
        <v>11940</v>
      </c>
      <c r="G94" s="182">
        <v>99180</v>
      </c>
      <c r="H94" s="182">
        <v>315853.33333333337</v>
      </c>
      <c r="I94" s="182">
        <v>12920</v>
      </c>
      <c r="J94" s="182">
        <v>3086.666666666667</v>
      </c>
      <c r="K94" s="182">
        <v>953.33333333333337</v>
      </c>
      <c r="L94" s="204">
        <v>5340</v>
      </c>
      <c r="M94" s="182">
        <f t="shared" si="13"/>
        <v>502806.66666666669</v>
      </c>
    </row>
    <row r="95" spans="3:13">
      <c r="C95" s="187" t="s">
        <v>22</v>
      </c>
      <c r="D95" s="182">
        <v>7006.666666666667</v>
      </c>
      <c r="E95" s="182">
        <v>1060</v>
      </c>
      <c r="F95" s="182">
        <v>400</v>
      </c>
      <c r="G95" s="182">
        <v>14493.33333333333</v>
      </c>
      <c r="H95" s="182">
        <v>14360</v>
      </c>
      <c r="I95" s="182">
        <v>133526.66666666669</v>
      </c>
      <c r="J95" s="182">
        <v>14706.66666666667</v>
      </c>
      <c r="K95" s="182">
        <v>2220</v>
      </c>
      <c r="L95" s="204">
        <v>2633.333333333333</v>
      </c>
      <c r="M95" s="182">
        <f t="shared" si="13"/>
        <v>190406.66666666669</v>
      </c>
    </row>
    <row r="96" spans="3:13">
      <c r="C96" s="187" t="s">
        <v>23</v>
      </c>
      <c r="D96" s="182">
        <v>2073.333333333333</v>
      </c>
      <c r="E96" s="182">
        <v>113.3333333333333</v>
      </c>
      <c r="F96" s="182">
        <v>20</v>
      </c>
      <c r="G96" s="182">
        <v>2080</v>
      </c>
      <c r="H96" s="182">
        <v>2833.333333333333</v>
      </c>
      <c r="I96" s="182">
        <v>6013.3333333333339</v>
      </c>
      <c r="J96" s="182">
        <v>40686.666666666672</v>
      </c>
      <c r="K96" s="182">
        <v>4320</v>
      </c>
      <c r="L96" s="204">
        <v>833.33333333333337</v>
      </c>
      <c r="M96" s="182">
        <f t="shared" si="13"/>
        <v>58973.333333333336</v>
      </c>
    </row>
    <row r="97" spans="3:13">
      <c r="C97" s="187" t="s">
        <v>24</v>
      </c>
      <c r="D97" s="182">
        <v>7000</v>
      </c>
      <c r="E97" s="182">
        <v>586.66666666666674</v>
      </c>
      <c r="F97" s="182">
        <v>53.333333333333343</v>
      </c>
      <c r="G97" s="182">
        <v>2900</v>
      </c>
      <c r="H97" s="182">
        <v>2200</v>
      </c>
      <c r="I97" s="182">
        <v>2073.333333333333</v>
      </c>
      <c r="J97" s="182">
        <v>6033.3333333333339</v>
      </c>
      <c r="K97" s="182">
        <v>180086.66666666669</v>
      </c>
      <c r="L97" s="204">
        <v>13840</v>
      </c>
      <c r="M97" s="182">
        <f t="shared" si="13"/>
        <v>214773.33333333334</v>
      </c>
    </row>
    <row r="98" spans="3:13">
      <c r="C98" s="192" t="s">
        <v>25</v>
      </c>
      <c r="D98" s="182">
        <v>33320</v>
      </c>
      <c r="E98" s="182">
        <v>4373.3333333333339</v>
      </c>
      <c r="F98" s="182">
        <v>540</v>
      </c>
      <c r="G98" s="182">
        <v>12506.66666666667</v>
      </c>
      <c r="H98" s="182">
        <v>11506.66666666667</v>
      </c>
      <c r="I98" s="182">
        <v>1240</v>
      </c>
      <c r="J98" s="182">
        <v>853.33333333333337</v>
      </c>
      <c r="K98" s="182">
        <v>7466.666666666667</v>
      </c>
      <c r="L98" s="204">
        <v>61886.666666666672</v>
      </c>
      <c r="M98" s="182">
        <f t="shared" si="13"/>
        <v>133693.33333333337</v>
      </c>
    </row>
    <row r="99" spans="3:13">
      <c r="C99" s="205" t="s">
        <v>26</v>
      </c>
      <c r="D99" s="206">
        <f>SUM(D90:D98)</f>
        <v>764140.00000000012</v>
      </c>
      <c r="E99" s="206">
        <f t="shared" ref="E99:L99" si="14">SUM(E90:E98)</f>
        <v>367706.66666666663</v>
      </c>
      <c r="F99" s="206">
        <f t="shared" si="14"/>
        <v>1130993.3333333333</v>
      </c>
      <c r="G99" s="206">
        <f t="shared" si="14"/>
        <v>806493.33333333337</v>
      </c>
      <c r="H99" s="206">
        <f t="shared" si="14"/>
        <v>397766.66666666669</v>
      </c>
      <c r="I99" s="206">
        <f t="shared" si="14"/>
        <v>157460.00000000003</v>
      </c>
      <c r="J99" s="206">
        <f t="shared" si="14"/>
        <v>66006.666666666672</v>
      </c>
      <c r="K99" s="206">
        <f t="shared" si="14"/>
        <v>195586.66666666669</v>
      </c>
      <c r="L99" s="207">
        <f t="shared" si="14"/>
        <v>94040</v>
      </c>
      <c r="M99" s="206">
        <f t="shared" si="13"/>
        <v>3980193.333333333</v>
      </c>
    </row>
    <row r="101" spans="3:13">
      <c r="C101" s="124" t="s">
        <v>131</v>
      </c>
    </row>
    <row r="102" spans="3:13">
      <c r="C102" s="189"/>
      <c r="D102" s="243" t="s">
        <v>128</v>
      </c>
      <c r="E102" s="243"/>
      <c r="F102" s="243"/>
      <c r="G102" s="243"/>
      <c r="H102" s="243"/>
      <c r="I102" s="243"/>
      <c r="J102" s="243"/>
      <c r="K102" s="243"/>
      <c r="L102" s="243"/>
      <c r="M102" s="200"/>
    </row>
    <row r="103" spans="3:13" ht="30.75" thickBot="1">
      <c r="C103" s="202"/>
      <c r="D103" s="202" t="s">
        <v>17</v>
      </c>
      <c r="E103" s="202" t="s">
        <v>18</v>
      </c>
      <c r="F103" s="202" t="s">
        <v>19</v>
      </c>
      <c r="G103" s="202" t="s">
        <v>20</v>
      </c>
      <c r="H103" s="202" t="s">
        <v>21</v>
      </c>
      <c r="I103" s="202" t="s">
        <v>22</v>
      </c>
      <c r="J103" s="202" t="s">
        <v>23</v>
      </c>
      <c r="K103" s="202" t="s">
        <v>24</v>
      </c>
      <c r="L103" s="202" t="s">
        <v>25</v>
      </c>
      <c r="M103" s="203" t="s">
        <v>26</v>
      </c>
    </row>
    <row r="104" spans="3:13" ht="16.5" thickTop="1">
      <c r="C104" s="187" t="s">
        <v>17</v>
      </c>
      <c r="D104" s="208">
        <f>D90/$M90</f>
        <v>0.74378182309737295</v>
      </c>
      <c r="E104" s="208">
        <f t="shared" ref="E104:M104" si="15">E90/$M90</f>
        <v>7.765962240346054E-2</v>
      </c>
      <c r="F104" s="208">
        <f t="shared" si="15"/>
        <v>9.2225025909070418E-2</v>
      </c>
      <c r="G104" s="208">
        <f t="shared" si="15"/>
        <v>6.7566349749921151E-2</v>
      </c>
      <c r="H104" s="208">
        <f t="shared" si="15"/>
        <v>7.1869508403550678E-3</v>
      </c>
      <c r="I104" s="208">
        <f t="shared" si="15"/>
        <v>5.1818140855224622E-4</v>
      </c>
      <c r="J104" s="208">
        <f t="shared" si="15"/>
        <v>2.9288514396431296E-4</v>
      </c>
      <c r="K104" s="208">
        <f t="shared" si="15"/>
        <v>3.379443968818997E-4</v>
      </c>
      <c r="L104" s="209">
        <f t="shared" si="15"/>
        <v>1.0431217050421304E-2</v>
      </c>
      <c r="M104" s="208">
        <f t="shared" si="15"/>
        <v>1</v>
      </c>
    </row>
    <row r="105" spans="3:13">
      <c r="C105" s="187" t="s">
        <v>18</v>
      </c>
      <c r="D105" s="208">
        <f t="shared" ref="D105:M105" si="16">D91/$M91</f>
        <v>0.25986385673941792</v>
      </c>
      <c r="E105" s="208">
        <f t="shared" si="16"/>
        <v>0.53234626748722635</v>
      </c>
      <c r="F105" s="208">
        <f t="shared" si="16"/>
        <v>0.16242511304461385</v>
      </c>
      <c r="G105" s="208">
        <f t="shared" si="16"/>
        <v>3.7023131294993385E-2</v>
      </c>
      <c r="H105" s="208">
        <f t="shared" si="16"/>
        <v>4.6360534778563138E-3</v>
      </c>
      <c r="I105" s="208">
        <f t="shared" si="16"/>
        <v>3.1015850732137322E-4</v>
      </c>
      <c r="J105" s="208">
        <f t="shared" si="16"/>
        <v>1.3059305571426242E-4</v>
      </c>
      <c r="K105" s="208">
        <f t="shared" si="16"/>
        <v>1.9588958357139358E-4</v>
      </c>
      <c r="L105" s="209">
        <f t="shared" si="16"/>
        <v>3.0689368092851653E-3</v>
      </c>
      <c r="M105" s="208">
        <f t="shared" si="16"/>
        <v>1</v>
      </c>
    </row>
    <row r="106" spans="3:13">
      <c r="C106" s="187" t="s">
        <v>19</v>
      </c>
      <c r="D106" s="208">
        <f t="shared" ref="D106:M106" si="17">D92/$M92</f>
        <v>2.9580346117694754E-2</v>
      </c>
      <c r="E106" s="208">
        <f t="shared" si="17"/>
        <v>5.0602972164372116E-2</v>
      </c>
      <c r="F106" s="208">
        <f t="shared" si="17"/>
        <v>0.86139319437021189</v>
      </c>
      <c r="G106" s="208">
        <f t="shared" si="17"/>
        <v>5.7047371557406752E-2</v>
      </c>
      <c r="H106" s="208">
        <f t="shared" si="17"/>
        <v>1.2778218052919023E-3</v>
      </c>
      <c r="I106" s="208">
        <f t="shared" si="17"/>
        <v>2.4573496255613507E-5</v>
      </c>
      <c r="J106" s="208">
        <f t="shared" si="17"/>
        <v>6.1433740639033758E-6</v>
      </c>
      <c r="K106" s="208">
        <f t="shared" si="17"/>
        <v>0</v>
      </c>
      <c r="L106" s="209">
        <f t="shared" si="17"/>
        <v>6.7577114702937138E-5</v>
      </c>
      <c r="M106" s="208">
        <f t="shared" si="17"/>
        <v>1</v>
      </c>
    </row>
    <row r="107" spans="3:13">
      <c r="C107" s="187" t="s">
        <v>20</v>
      </c>
      <c r="D107" s="208">
        <f t="shared" ref="D107:M107" si="18">D93/$M93</f>
        <v>0.11732411037331164</v>
      </c>
      <c r="E107" s="208">
        <f t="shared" si="18"/>
        <v>4.145295199079943E-2</v>
      </c>
      <c r="F107" s="208">
        <f t="shared" si="18"/>
        <v>7.8523878680019824E-2</v>
      </c>
      <c r="G107" s="208">
        <f t="shared" si="18"/>
        <v>0.70303803631540518</v>
      </c>
      <c r="H107" s="208">
        <f t="shared" si="18"/>
        <v>5.4750132216280653E-2</v>
      </c>
      <c r="I107" s="208">
        <f t="shared" si="18"/>
        <v>1.5446219453841832E-3</v>
      </c>
      <c r="J107" s="208">
        <f t="shared" si="18"/>
        <v>5.1207575363279979E-4</v>
      </c>
      <c r="K107" s="208">
        <f t="shared" si="18"/>
        <v>3.2739269494556049E-4</v>
      </c>
      <c r="L107" s="209">
        <f t="shared" si="18"/>
        <v>2.5268000302208649E-3</v>
      </c>
      <c r="M107" s="208">
        <f t="shared" si="18"/>
        <v>1</v>
      </c>
    </row>
    <row r="108" spans="3:13">
      <c r="C108" s="187" t="s">
        <v>21</v>
      </c>
      <c r="D108" s="208">
        <f t="shared" ref="D108:M108" si="19">D94/$M94</f>
        <v>8.5838161785179196E-2</v>
      </c>
      <c r="E108" s="208">
        <f t="shared" si="19"/>
        <v>2.0630858779385045E-2</v>
      </c>
      <c r="F108" s="208">
        <f t="shared" si="19"/>
        <v>2.3746701846965697E-2</v>
      </c>
      <c r="G108" s="208">
        <f t="shared" si="19"/>
        <v>0.19725275453786081</v>
      </c>
      <c r="H108" s="208">
        <f t="shared" si="19"/>
        <v>0.62818048023759965</v>
      </c>
      <c r="I108" s="208">
        <f t="shared" si="19"/>
        <v>2.5695761127537423E-2</v>
      </c>
      <c r="J108" s="208">
        <f t="shared" si="19"/>
        <v>6.1388737884674038E-3</v>
      </c>
      <c r="K108" s="208">
        <f t="shared" si="19"/>
        <v>1.8960236538895002E-3</v>
      </c>
      <c r="L108" s="209">
        <f t="shared" si="19"/>
        <v>1.0620384243115313E-2</v>
      </c>
      <c r="M108" s="208">
        <f t="shared" si="19"/>
        <v>1</v>
      </c>
    </row>
    <row r="109" spans="3:13">
      <c r="C109" s="187" t="s">
        <v>22</v>
      </c>
      <c r="D109" s="208">
        <f t="shared" ref="D109:M109" si="20">D95/$M95</f>
        <v>3.6798431427471023E-2</v>
      </c>
      <c r="E109" s="208">
        <f t="shared" si="20"/>
        <v>5.5670319666678335E-3</v>
      </c>
      <c r="F109" s="208">
        <f t="shared" si="20"/>
        <v>2.100766779874654E-3</v>
      </c>
      <c r="G109" s="208">
        <f t="shared" si="20"/>
        <v>7.611778299079161E-2</v>
      </c>
      <c r="H109" s="208">
        <f t="shared" si="20"/>
        <v>7.5417527397500086E-2</v>
      </c>
      <c r="I109" s="208">
        <f t="shared" si="20"/>
        <v>0.7012709639018242</v>
      </c>
      <c r="J109" s="208">
        <f t="shared" si="20"/>
        <v>7.7238191940058126E-2</v>
      </c>
      <c r="K109" s="208">
        <f t="shared" si="20"/>
        <v>1.1659255628304331E-2</v>
      </c>
      <c r="L109" s="209">
        <f t="shared" si="20"/>
        <v>1.3830047967508138E-2</v>
      </c>
      <c r="M109" s="208">
        <f t="shared" si="20"/>
        <v>1</v>
      </c>
    </row>
    <row r="110" spans="3:13">
      <c r="C110" s="187" t="s">
        <v>23</v>
      </c>
      <c r="D110" s="208">
        <f t="shared" ref="D110:M110" si="21">D96/$M96</f>
        <v>3.5157133167533342E-2</v>
      </c>
      <c r="E110" s="208">
        <f t="shared" si="21"/>
        <v>1.9217725525661308E-3</v>
      </c>
      <c r="F110" s="208">
        <f t="shared" si="21"/>
        <v>3.3913633280578789E-4</v>
      </c>
      <c r="G110" s="208">
        <f t="shared" si="21"/>
        <v>3.5270178611801942E-2</v>
      </c>
      <c r="H110" s="208">
        <f t="shared" si="21"/>
        <v>4.8044313814153285E-2</v>
      </c>
      <c r="I110" s="208">
        <f t="shared" si="21"/>
        <v>0.10196699073027357</v>
      </c>
      <c r="J110" s="208">
        <f t="shared" si="21"/>
        <v>0.68991634637124133</v>
      </c>
      <c r="K110" s="208">
        <f t="shared" si="21"/>
        <v>7.3253447886050191E-2</v>
      </c>
      <c r="L110" s="209">
        <f t="shared" si="21"/>
        <v>1.4130680533574497E-2</v>
      </c>
      <c r="M110" s="208">
        <f t="shared" si="21"/>
        <v>1</v>
      </c>
    </row>
    <row r="111" spans="3:13">
      <c r="C111" s="187" t="s">
        <v>24</v>
      </c>
      <c r="D111" s="208">
        <f t="shared" ref="D111:M111" si="22">D97/$M97</f>
        <v>3.2592500620809532E-2</v>
      </c>
      <c r="E111" s="208">
        <f t="shared" si="22"/>
        <v>2.7315619567916567E-3</v>
      </c>
      <c r="F111" s="208">
        <f t="shared" si="22"/>
        <v>2.4832381425378696E-4</v>
      </c>
      <c r="G111" s="208">
        <f t="shared" si="22"/>
        <v>1.3502607400049663E-2</v>
      </c>
      <c r="H111" s="208">
        <f t="shared" si="22"/>
        <v>1.024335733796871E-2</v>
      </c>
      <c r="I111" s="208">
        <f t="shared" si="22"/>
        <v>9.6535882791159659E-3</v>
      </c>
      <c r="J111" s="208">
        <f t="shared" si="22"/>
        <v>2.8091631487459648E-2</v>
      </c>
      <c r="K111" s="208">
        <f t="shared" si="22"/>
        <v>0.83849639930469333</v>
      </c>
      <c r="L111" s="209">
        <f t="shared" si="22"/>
        <v>6.4440029798857712E-2</v>
      </c>
      <c r="M111" s="208">
        <f t="shared" si="22"/>
        <v>1</v>
      </c>
    </row>
    <row r="112" spans="3:13">
      <c r="C112" s="192" t="s">
        <v>25</v>
      </c>
      <c r="D112" s="208">
        <f t="shared" ref="D112:M112" si="23">D98/$M98</f>
        <v>0.24922708686546319</v>
      </c>
      <c r="E112" s="208">
        <f t="shared" si="23"/>
        <v>3.2711678468136031E-2</v>
      </c>
      <c r="F112" s="208">
        <f t="shared" si="23"/>
        <v>4.0390944449985025E-3</v>
      </c>
      <c r="G112" s="208">
        <f t="shared" si="23"/>
        <v>9.354742196070609E-2</v>
      </c>
      <c r="H112" s="208">
        <f t="shared" si="23"/>
        <v>8.6067617432931079E-2</v>
      </c>
      <c r="I112" s="208">
        <f t="shared" si="23"/>
        <v>9.2749576144410071E-3</v>
      </c>
      <c r="J112" s="208">
        <f t="shared" si="23"/>
        <v>6.3827665303680045E-3</v>
      </c>
      <c r="K112" s="208">
        <f t="shared" si="23"/>
        <v>5.5849207140720045E-2</v>
      </c>
      <c r="L112" s="209">
        <f t="shared" si="23"/>
        <v>0.46290016954223584</v>
      </c>
      <c r="M112" s="208">
        <f t="shared" si="23"/>
        <v>1</v>
      </c>
    </row>
    <row r="113" spans="3:13">
      <c r="C113" s="205" t="s">
        <v>26</v>
      </c>
      <c r="D113" s="210">
        <f t="shared" ref="D113:M113" si="24">D99/$M99</f>
        <v>0.19198564893832631</v>
      </c>
      <c r="E113" s="210">
        <f t="shared" si="24"/>
        <v>9.2384122044322808E-2</v>
      </c>
      <c r="F113" s="210">
        <f t="shared" si="24"/>
        <v>0.28415537603700991</v>
      </c>
      <c r="G113" s="210">
        <f t="shared" si="24"/>
        <v>0.20262667307618226</v>
      </c>
      <c r="H113" s="210">
        <f t="shared" si="24"/>
        <v>9.9936518996564666E-2</v>
      </c>
      <c r="I113" s="210">
        <f t="shared" si="24"/>
        <v>3.9560892351962813E-2</v>
      </c>
      <c r="J113" s="210">
        <f t="shared" si="24"/>
        <v>1.6583784037291324E-2</v>
      </c>
      <c r="K113" s="210">
        <f t="shared" si="24"/>
        <v>4.9139991524699812E-2</v>
      </c>
      <c r="L113" s="211">
        <f t="shared" si="24"/>
        <v>2.3626992993640177E-2</v>
      </c>
      <c r="M113" s="210">
        <f t="shared" si="24"/>
        <v>1</v>
      </c>
    </row>
  </sheetData>
  <mergeCells count="5">
    <mergeCell ref="B60:B68"/>
    <mergeCell ref="D58:L58"/>
    <mergeCell ref="D88:L88"/>
    <mergeCell ref="D73:L73"/>
    <mergeCell ref="D102:L102"/>
  </mergeCells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371E-3ECB-514B-BF45-9AD77D3336F6}">
  <dimension ref="B2:L211"/>
  <sheetViews>
    <sheetView zoomScale="85" zoomScaleNormal="85" workbookViewId="0">
      <pane ySplit="7" topLeftCell="A187" activePane="bottomLeft" state="frozen"/>
      <selection pane="bottomLeft" activeCell="N110" sqref="N110"/>
    </sheetView>
  </sheetViews>
  <sheetFormatPr defaultColWidth="11" defaultRowHeight="15.75"/>
  <cols>
    <col min="1" max="1" width="3.5" customWidth="1"/>
    <col min="2" max="2" width="9.125" customWidth="1"/>
  </cols>
  <sheetData>
    <row r="2" spans="2:12" ht="18.75">
      <c r="B2" s="1" t="s">
        <v>132</v>
      </c>
    </row>
    <row r="3" spans="2:12" ht="18.75">
      <c r="B3" s="1" t="s">
        <v>1</v>
      </c>
    </row>
    <row r="4" spans="2:12" ht="18.75">
      <c r="B4" s="1" t="s">
        <v>62</v>
      </c>
    </row>
    <row r="6" spans="2:12">
      <c r="B6" s="69"/>
      <c r="C6" s="69"/>
      <c r="D6" s="247" t="s">
        <v>133</v>
      </c>
      <c r="E6" s="247"/>
      <c r="F6" s="247"/>
      <c r="G6" s="247"/>
      <c r="H6" s="247"/>
      <c r="I6" s="247"/>
      <c r="J6" s="247"/>
      <c r="K6" s="247"/>
      <c r="L6" s="102"/>
    </row>
    <row r="7" spans="2:12" s="52" customFormat="1" ht="30.75" thickBot="1">
      <c r="B7" s="89" t="s">
        <v>129</v>
      </c>
      <c r="C7" s="89" t="s">
        <v>123</v>
      </c>
      <c r="D7" s="90" t="s">
        <v>134</v>
      </c>
      <c r="E7" s="90" t="s">
        <v>135</v>
      </c>
      <c r="F7" s="90" t="s">
        <v>136</v>
      </c>
      <c r="G7" s="202" t="s">
        <v>137</v>
      </c>
      <c r="H7" s="212" t="s">
        <v>138</v>
      </c>
      <c r="I7" s="90" t="s">
        <v>139</v>
      </c>
      <c r="J7" s="90" t="s">
        <v>140</v>
      </c>
      <c r="K7" s="90" t="s">
        <v>141</v>
      </c>
      <c r="L7" s="99" t="s">
        <v>142</v>
      </c>
    </row>
    <row r="8" spans="2:12" ht="16.5" thickTop="1">
      <c r="B8" s="248" t="s">
        <v>17</v>
      </c>
      <c r="C8" s="87" t="s">
        <v>110</v>
      </c>
      <c r="D8" s="91">
        <v>0.20775792236519786</v>
      </c>
      <c r="E8" s="91">
        <v>5.5094948888638785E-2</v>
      </c>
      <c r="F8" s="91">
        <v>2.0793299458248749E-2</v>
      </c>
      <c r="G8" s="91">
        <v>3.1574135441980927E-2</v>
      </c>
      <c r="H8" s="92">
        <f>SUM(D8:G8)</f>
        <v>0.31522030615406638</v>
      </c>
      <c r="I8" s="91">
        <v>0.48709953967122549</v>
      </c>
      <c r="J8" s="91">
        <v>0.12092904989975031</v>
      </c>
      <c r="K8" s="91">
        <v>7.6751104274957863E-2</v>
      </c>
      <c r="L8" s="93">
        <f>SUM(H8:K8)</f>
        <v>1</v>
      </c>
    </row>
    <row r="9" spans="2:12">
      <c r="B9" s="245"/>
      <c r="C9" s="87" t="s">
        <v>111</v>
      </c>
      <c r="D9" s="91">
        <v>2.8677290946405698E-2</v>
      </c>
      <c r="E9" s="91">
        <v>6.4847591630969273E-2</v>
      </c>
      <c r="F9" s="91">
        <v>9.1045577884602148E-3</v>
      </c>
      <c r="G9" s="91">
        <v>3.6969187752234817E-2</v>
      </c>
      <c r="H9" s="92">
        <f t="shared" ref="H9:H72" si="0">SUM(D9:G9)</f>
        <v>0.13959862811807</v>
      </c>
      <c r="I9" s="91">
        <v>0.53240313494304481</v>
      </c>
      <c r="J9" s="91">
        <v>0.26642883706835996</v>
      </c>
      <c r="K9" s="91">
        <v>6.1569399870525197E-2</v>
      </c>
      <c r="L9" s="93">
        <f t="shared" ref="L9:L72" si="1">SUM(H9:K9)</f>
        <v>1</v>
      </c>
    </row>
    <row r="10" spans="2:12">
      <c r="B10" s="245"/>
      <c r="C10" s="87" t="s">
        <v>112</v>
      </c>
      <c r="D10" s="91">
        <v>6.7101274363530972E-2</v>
      </c>
      <c r="E10" s="91">
        <v>0.15366486424844863</v>
      </c>
      <c r="F10" s="91">
        <v>0.21521633770158416</v>
      </c>
      <c r="G10" s="91">
        <v>9.0469357306445942E-3</v>
      </c>
      <c r="H10" s="92">
        <f t="shared" si="0"/>
        <v>0.44502941204420837</v>
      </c>
      <c r="I10" s="91">
        <v>9.1495690351519068E-2</v>
      </c>
      <c r="J10" s="91">
        <v>0.28322990810518012</v>
      </c>
      <c r="K10" s="91">
        <v>0.18024498949909246</v>
      </c>
      <c r="L10" s="93">
        <f t="shared" si="1"/>
        <v>1</v>
      </c>
    </row>
    <row r="11" spans="2:12">
      <c r="B11" s="245"/>
      <c r="C11" s="87" t="s">
        <v>113</v>
      </c>
      <c r="D11" s="91">
        <v>0.16745621730513047</v>
      </c>
      <c r="E11" s="91">
        <v>0.10525392338434546</v>
      </c>
      <c r="F11" s="91">
        <v>3.6780712870000322E-2</v>
      </c>
      <c r="G11" s="91">
        <v>2.9281606394385418E-2</v>
      </c>
      <c r="H11" s="92">
        <f t="shared" si="0"/>
        <v>0.33877245995386168</v>
      </c>
      <c r="I11" s="91">
        <v>5.1363030834714232E-2</v>
      </c>
      <c r="J11" s="91">
        <v>0.53218962212041454</v>
      </c>
      <c r="K11" s="91">
        <v>7.7674887091009517E-2</v>
      </c>
      <c r="L11" s="93">
        <f t="shared" si="1"/>
        <v>1</v>
      </c>
    </row>
    <row r="12" spans="2:12">
      <c r="B12" s="245"/>
      <c r="C12" s="87" t="s">
        <v>114</v>
      </c>
      <c r="D12" s="91">
        <v>0.10987589899494067</v>
      </c>
      <c r="E12" s="91">
        <v>0.17632022748069667</v>
      </c>
      <c r="F12" s="91">
        <v>6.9068524022354819E-2</v>
      </c>
      <c r="G12" s="91">
        <v>6.215637785390718E-2</v>
      </c>
      <c r="H12" s="92">
        <f t="shared" si="0"/>
        <v>0.41742102835189931</v>
      </c>
      <c r="I12" s="91">
        <v>0.25628634737693884</v>
      </c>
      <c r="J12" s="91">
        <v>0.23942192072963223</v>
      </c>
      <c r="K12" s="91">
        <v>8.6870703541529593E-2</v>
      </c>
      <c r="L12" s="93">
        <f t="shared" si="1"/>
        <v>0.99999999999999989</v>
      </c>
    </row>
    <row r="13" spans="2:12">
      <c r="B13" s="245"/>
      <c r="C13" s="87" t="s">
        <v>115</v>
      </c>
      <c r="D13" s="91">
        <v>0.12812254440682569</v>
      </c>
      <c r="E13" s="91">
        <v>0.17659898526401568</v>
      </c>
      <c r="F13" s="91">
        <v>0.11267837913873556</v>
      </c>
      <c r="G13" s="91">
        <v>5.2036747800273571E-2</v>
      </c>
      <c r="H13" s="92">
        <f t="shared" si="0"/>
        <v>0.46943665660985051</v>
      </c>
      <c r="I13" s="91">
        <v>0.1487374006848983</v>
      </c>
      <c r="J13" s="91">
        <v>0.30178209369330916</v>
      </c>
      <c r="K13" s="91">
        <v>8.0043849011942059E-2</v>
      </c>
      <c r="L13" s="93">
        <f t="shared" si="1"/>
        <v>1</v>
      </c>
    </row>
    <row r="14" spans="2:12">
      <c r="B14" s="245"/>
      <c r="C14" s="87" t="s">
        <v>116</v>
      </c>
      <c r="D14" s="91">
        <v>0.25097914713317587</v>
      </c>
      <c r="E14" s="91">
        <v>0.16033089238876294</v>
      </c>
      <c r="F14" s="91">
        <v>7.6545568914155496E-2</v>
      </c>
      <c r="G14" s="91">
        <v>6.5617693485407746E-2</v>
      </c>
      <c r="H14" s="92">
        <f t="shared" si="0"/>
        <v>0.55347330192150201</v>
      </c>
      <c r="I14" s="91">
        <v>0.19487104928967325</v>
      </c>
      <c r="J14" s="91">
        <v>0.21094983206143109</v>
      </c>
      <c r="K14" s="91">
        <v>4.0705816727393568E-2</v>
      </c>
      <c r="L14" s="93">
        <f t="shared" si="1"/>
        <v>0.99999999999999989</v>
      </c>
    </row>
    <row r="15" spans="2:12">
      <c r="B15" s="245"/>
      <c r="C15" s="87" t="s">
        <v>117</v>
      </c>
      <c r="D15" s="91">
        <v>0.11921843449340777</v>
      </c>
      <c r="E15" s="91">
        <v>0.15254780852832878</v>
      </c>
      <c r="F15" s="91">
        <v>8.8324028982064373E-2</v>
      </c>
      <c r="G15" s="91">
        <v>6.4782040622401713E-2</v>
      </c>
      <c r="H15" s="92">
        <f t="shared" si="0"/>
        <v>0.42487231262620268</v>
      </c>
      <c r="I15" s="91">
        <v>0.24514787979570021</v>
      </c>
      <c r="J15" s="91">
        <v>0.25157382111889776</v>
      </c>
      <c r="K15" s="91">
        <v>7.8405986459199425E-2</v>
      </c>
      <c r="L15" s="93">
        <f t="shared" si="1"/>
        <v>1.0000000000000002</v>
      </c>
    </row>
    <row r="16" spans="2:12">
      <c r="B16" s="245"/>
      <c r="C16" s="87" t="s">
        <v>118</v>
      </c>
      <c r="D16" s="91">
        <v>0.18146738011936611</v>
      </c>
      <c r="E16" s="91">
        <v>0.15740121424161349</v>
      </c>
      <c r="F16" s="91">
        <v>9.1683388214310213E-2</v>
      </c>
      <c r="G16" s="91">
        <v>7.5665003087054955E-2</v>
      </c>
      <c r="H16" s="92">
        <f t="shared" si="0"/>
        <v>0.50621698566234474</v>
      </c>
      <c r="I16" s="91">
        <v>0.20704706043767579</v>
      </c>
      <c r="J16" s="91">
        <v>0.21801253687315633</v>
      </c>
      <c r="K16" s="91">
        <v>6.872341702682308E-2</v>
      </c>
      <c r="L16" s="93">
        <f t="shared" si="1"/>
        <v>1</v>
      </c>
    </row>
    <row r="17" spans="2:12">
      <c r="B17" s="245"/>
      <c r="C17" s="94" t="s">
        <v>99</v>
      </c>
      <c r="D17" s="95">
        <v>0.18002292113914015</v>
      </c>
      <c r="E17" s="95">
        <v>0.11890432907838992</v>
      </c>
      <c r="F17" s="95">
        <v>6.4698870315285234E-2</v>
      </c>
      <c r="G17" s="95">
        <v>4.9352652579180027E-2</v>
      </c>
      <c r="H17" s="96">
        <f t="shared" si="0"/>
        <v>0.41297877311199532</v>
      </c>
      <c r="I17" s="95">
        <v>0.29381230419994003</v>
      </c>
      <c r="J17" s="95">
        <v>0.21836432102103925</v>
      </c>
      <c r="K17" s="95">
        <v>7.484460166702539E-2</v>
      </c>
      <c r="L17" s="97">
        <f t="shared" si="1"/>
        <v>1</v>
      </c>
    </row>
    <row r="18" spans="2:12">
      <c r="B18" s="249" t="s">
        <v>18</v>
      </c>
      <c r="C18" s="87" t="s">
        <v>110</v>
      </c>
      <c r="D18" s="91">
        <v>0.5470105674871496</v>
      </c>
      <c r="E18" s="91">
        <v>0.1018808134366703</v>
      </c>
      <c r="F18" s="91">
        <v>3.9407798723461618E-2</v>
      </c>
      <c r="G18" s="91">
        <v>1.3957132223509484E-2</v>
      </c>
      <c r="H18" s="92">
        <f t="shared" si="0"/>
        <v>0.70225631187079096</v>
      </c>
      <c r="I18" s="91">
        <v>0.19368256120409572</v>
      </c>
      <c r="J18" s="91">
        <v>3.093075550988272E-2</v>
      </c>
      <c r="K18" s="91">
        <v>7.3130371415230544E-2</v>
      </c>
      <c r="L18" s="93">
        <f t="shared" si="1"/>
        <v>1</v>
      </c>
    </row>
    <row r="19" spans="2:12">
      <c r="B19" s="245"/>
      <c r="C19" s="87" t="s">
        <v>111</v>
      </c>
      <c r="D19" s="91">
        <v>0.2661617738913179</v>
      </c>
      <c r="E19" s="91">
        <v>0.22415677701436601</v>
      </c>
      <c r="F19" s="91">
        <v>3.4782948157401621E-2</v>
      </c>
      <c r="G19" s="91">
        <v>9.4979700187382887E-2</v>
      </c>
      <c r="H19" s="92">
        <f t="shared" si="0"/>
        <v>0.62008119925046834</v>
      </c>
      <c r="I19" s="91">
        <v>0.23731261711430357</v>
      </c>
      <c r="J19" s="91">
        <v>4.2590568394753281E-2</v>
      </c>
      <c r="K19" s="91">
        <v>0.1000156152404747</v>
      </c>
      <c r="L19" s="93">
        <f t="shared" si="1"/>
        <v>0.99999999999999978</v>
      </c>
    </row>
    <row r="20" spans="2:12">
      <c r="B20" s="245"/>
      <c r="C20" s="87" t="s">
        <v>112</v>
      </c>
      <c r="D20" s="91">
        <v>0.1073166161403227</v>
      </c>
      <c r="E20" s="91">
        <v>0.23653021207680006</v>
      </c>
      <c r="F20" s="91">
        <v>0.33020806146144938</v>
      </c>
      <c r="G20" s="91">
        <v>9.7505805510383001E-3</v>
      </c>
      <c r="H20" s="92">
        <f t="shared" si="0"/>
        <v>0.68380547022961036</v>
      </c>
      <c r="I20" s="91">
        <v>2.46675634256192E-2</v>
      </c>
      <c r="J20" s="91">
        <v>0.15101019226779633</v>
      </c>
      <c r="K20" s="91">
        <v>0.14051677407697405</v>
      </c>
      <c r="L20" s="93">
        <f t="shared" si="1"/>
        <v>0.99999999999999989</v>
      </c>
    </row>
    <row r="21" spans="2:12">
      <c r="B21" s="245"/>
      <c r="C21" s="87" t="s">
        <v>113</v>
      </c>
      <c r="D21" s="91">
        <v>0.37144767063179185</v>
      </c>
      <c r="E21" s="91">
        <v>0.11677693599808028</v>
      </c>
      <c r="F21" s="91">
        <v>5.2192245723492507E-2</v>
      </c>
      <c r="G21" s="91">
        <v>1.1715402283089369E-2</v>
      </c>
      <c r="H21" s="92">
        <f t="shared" si="0"/>
        <v>0.55213225463645388</v>
      </c>
      <c r="I21" s="91">
        <v>1.6000479928696309E-2</v>
      </c>
      <c r="J21" s="91">
        <v>0.37248465942202874</v>
      </c>
      <c r="K21" s="91">
        <v>5.938260601282095E-2</v>
      </c>
      <c r="L21" s="93">
        <f t="shared" si="1"/>
        <v>0.99999999999999989</v>
      </c>
    </row>
    <row r="22" spans="2:12">
      <c r="B22" s="245"/>
      <c r="C22" s="87" t="s">
        <v>114</v>
      </c>
      <c r="D22" s="91">
        <v>0.28401497979698431</v>
      </c>
      <c r="E22" s="91">
        <v>0.21808416280674092</v>
      </c>
      <c r="F22" s="91">
        <v>0.12438159061791662</v>
      </c>
      <c r="G22" s="91">
        <v>5.9002660884990635E-2</v>
      </c>
      <c r="H22" s="92">
        <f t="shared" si="0"/>
        <v>0.6854833941066325</v>
      </c>
      <c r="I22" s="91">
        <v>7.1666502414506755E-2</v>
      </c>
      <c r="J22" s="91">
        <v>0.16733024539272692</v>
      </c>
      <c r="K22" s="91">
        <v>7.5519858086133831E-2</v>
      </c>
      <c r="L22" s="93">
        <f t="shared" si="1"/>
        <v>1</v>
      </c>
    </row>
    <row r="23" spans="2:12">
      <c r="B23" s="245"/>
      <c r="C23" s="87" t="s">
        <v>115</v>
      </c>
      <c r="D23" s="91">
        <v>0.21877620785776472</v>
      </c>
      <c r="E23" s="91">
        <v>0.29464620889609505</v>
      </c>
      <c r="F23" s="91">
        <v>0.17369669571329302</v>
      </c>
      <c r="G23" s="91">
        <v>3.4296850664132073E-2</v>
      </c>
      <c r="H23" s="92">
        <f t="shared" si="0"/>
        <v>0.72141596313128487</v>
      </c>
      <c r="I23" s="91">
        <v>2.6325668325332865E-2</v>
      </c>
      <c r="J23" s="91">
        <v>0.18919976677502576</v>
      </c>
      <c r="K23" s="91">
        <v>6.3058601768356481E-2</v>
      </c>
      <c r="L23" s="93">
        <f t="shared" si="1"/>
        <v>1</v>
      </c>
    </row>
    <row r="24" spans="2:12">
      <c r="B24" s="245"/>
      <c r="C24" s="87" t="s">
        <v>116</v>
      </c>
      <c r="D24" s="91">
        <v>0.44370654768081352</v>
      </c>
      <c r="E24" s="91">
        <v>0.21161718778765978</v>
      </c>
      <c r="F24" s="91">
        <v>0.12512259537334267</v>
      </c>
      <c r="G24" s="91">
        <v>5.9508547366166023E-2</v>
      </c>
      <c r="H24" s="92">
        <f t="shared" si="0"/>
        <v>0.83995487820798209</v>
      </c>
      <c r="I24" s="91">
        <v>3.2743425038577793E-2</v>
      </c>
      <c r="J24" s="91">
        <v>9.4313917796664065E-2</v>
      </c>
      <c r="K24" s="91">
        <v>3.2987778956776133E-2</v>
      </c>
      <c r="L24" s="93">
        <f t="shared" si="1"/>
        <v>1</v>
      </c>
    </row>
    <row r="25" spans="2:12">
      <c r="B25" s="245"/>
      <c r="C25" s="87" t="s">
        <v>117</v>
      </c>
      <c r="D25" s="91">
        <v>0.27904313876971043</v>
      </c>
      <c r="E25" s="91">
        <v>0.21166554002786706</v>
      </c>
      <c r="F25" s="91">
        <v>0.1499027411811773</v>
      </c>
      <c r="G25" s="91">
        <v>7.4054658076620636E-2</v>
      </c>
      <c r="H25" s="92">
        <f t="shared" si="0"/>
        <v>0.71466607805537541</v>
      </c>
      <c r="I25" s="91">
        <v>6.6646433153530985E-2</v>
      </c>
      <c r="J25" s="91">
        <v>0.14861975250734613</v>
      </c>
      <c r="K25" s="91">
        <v>7.0067736283747434E-2</v>
      </c>
      <c r="L25" s="93">
        <f t="shared" si="1"/>
        <v>1</v>
      </c>
    </row>
    <row r="26" spans="2:12">
      <c r="B26" s="245"/>
      <c r="C26" s="87" t="s">
        <v>118</v>
      </c>
      <c r="D26" s="91">
        <v>0.3347315951792969</v>
      </c>
      <c r="E26" s="91">
        <v>0.20663017377746926</v>
      </c>
      <c r="F26" s="91">
        <v>0.16582035028621503</v>
      </c>
      <c r="G26" s="91">
        <v>8.3278897474707236E-2</v>
      </c>
      <c r="H26" s="92">
        <f t="shared" si="0"/>
        <v>0.79046101671768843</v>
      </c>
      <c r="I26" s="91">
        <v>4.8903506276245859E-2</v>
      </c>
      <c r="J26" s="91">
        <v>0.11029577448760114</v>
      </c>
      <c r="K26" s="91">
        <v>5.033970251846457E-2</v>
      </c>
      <c r="L26" s="93">
        <f t="shared" si="1"/>
        <v>0.99999999999999989</v>
      </c>
    </row>
    <row r="27" spans="2:12">
      <c r="B27" s="250"/>
      <c r="C27" s="94" t="s">
        <v>99</v>
      </c>
      <c r="D27" s="95">
        <v>0.38148019382455833</v>
      </c>
      <c r="E27" s="95">
        <v>0.18210490862866952</v>
      </c>
      <c r="F27" s="95">
        <v>0.12600877860107343</v>
      </c>
      <c r="G27" s="95">
        <v>4.4771408704721759E-2</v>
      </c>
      <c r="H27" s="96">
        <f t="shared" si="0"/>
        <v>0.73436528975902304</v>
      </c>
      <c r="I27" s="95">
        <v>8.5523999913083154E-2</v>
      </c>
      <c r="J27" s="95">
        <v>0.11463570978466352</v>
      </c>
      <c r="K27" s="95">
        <v>6.5475000543230258E-2</v>
      </c>
      <c r="L27" s="97">
        <f t="shared" si="1"/>
        <v>1</v>
      </c>
    </row>
    <row r="28" spans="2:12">
      <c r="B28" s="249" t="s">
        <v>19</v>
      </c>
      <c r="C28" s="87" t="s">
        <v>110</v>
      </c>
      <c r="D28" s="91">
        <v>0.60113789468243806</v>
      </c>
      <c r="E28" s="91">
        <v>0.10763484002427018</v>
      </c>
      <c r="F28" s="91">
        <v>3.9331423154231035E-2</v>
      </c>
      <c r="G28" s="91">
        <v>1.6501313690631698E-2</v>
      </c>
      <c r="H28" s="92">
        <f t="shared" si="0"/>
        <v>0.76460547155157088</v>
      </c>
      <c r="I28" s="91">
        <v>0.1146022501598306</v>
      </c>
      <c r="J28" s="91">
        <v>3.5154233864544374E-2</v>
      </c>
      <c r="K28" s="91">
        <v>8.5638044424054094E-2</v>
      </c>
      <c r="L28" s="93">
        <f t="shared" si="1"/>
        <v>1</v>
      </c>
    </row>
    <row r="29" spans="2:12">
      <c r="B29" s="245"/>
      <c r="C29" s="87" t="s">
        <v>111</v>
      </c>
      <c r="D29" s="91">
        <v>0.27242276196871118</v>
      </c>
      <c r="E29" s="91">
        <v>0.21746277987450507</v>
      </c>
      <c r="F29" s="91">
        <v>3.5055222394591218E-2</v>
      </c>
      <c r="G29" s="91">
        <v>8.624109534063458E-2</v>
      </c>
      <c r="H29" s="92">
        <f t="shared" si="0"/>
        <v>0.61118185957844207</v>
      </c>
      <c r="I29" s="91">
        <v>0.21366551668248859</v>
      </c>
      <c r="J29" s="91">
        <v>8.4828698665555272E-2</v>
      </c>
      <c r="K29" s="91">
        <v>9.0323925073514083E-2</v>
      </c>
      <c r="L29" s="93">
        <f t="shared" si="1"/>
        <v>1</v>
      </c>
    </row>
    <row r="30" spans="2:12">
      <c r="B30" s="245"/>
      <c r="C30" s="87" t="s">
        <v>112</v>
      </c>
      <c r="D30" s="91">
        <v>0.10013644012887732</v>
      </c>
      <c r="E30" s="91">
        <v>0.26443733373432432</v>
      </c>
      <c r="F30" s="91">
        <v>0.35833114041392</v>
      </c>
      <c r="G30" s="91">
        <v>1.0930689741338706E-2</v>
      </c>
      <c r="H30" s="92">
        <f t="shared" si="0"/>
        <v>0.73383560401846037</v>
      </c>
      <c r="I30" s="91">
        <v>2.2027230530745467E-2</v>
      </c>
      <c r="J30" s="91">
        <v>0.13542069776852944</v>
      </c>
      <c r="K30" s="91">
        <v>0.10871646768226477</v>
      </c>
      <c r="L30" s="93">
        <f t="shared" si="1"/>
        <v>1</v>
      </c>
    </row>
    <row r="31" spans="2:12">
      <c r="B31" s="245"/>
      <c r="C31" s="87" t="s">
        <v>113</v>
      </c>
      <c r="D31" s="91">
        <v>0.4530165562913907</v>
      </c>
      <c r="E31" s="91">
        <v>0.13125165562913907</v>
      </c>
      <c r="F31" s="91">
        <v>5.6033112582781458E-2</v>
      </c>
      <c r="G31" s="91">
        <v>1.180794701986755E-2</v>
      </c>
      <c r="H31" s="92">
        <f t="shared" si="0"/>
        <v>0.65210927152317877</v>
      </c>
      <c r="I31" s="91">
        <v>8.6490066225165564E-3</v>
      </c>
      <c r="J31" s="91">
        <v>0.2645794701986755</v>
      </c>
      <c r="K31" s="91">
        <v>7.4662251655629133E-2</v>
      </c>
      <c r="L31" s="93">
        <f t="shared" si="1"/>
        <v>0.99999999999999989</v>
      </c>
    </row>
    <row r="32" spans="2:12">
      <c r="B32" s="245"/>
      <c r="C32" s="87" t="s">
        <v>114</v>
      </c>
      <c r="D32" s="91">
        <v>0.29727936988622944</v>
      </c>
      <c r="E32" s="91">
        <v>0.21753927792518093</v>
      </c>
      <c r="F32" s="91">
        <v>0.13678511397891285</v>
      </c>
      <c r="G32" s="91">
        <v>6.7519135399447122E-2</v>
      </c>
      <c r="H32" s="92">
        <f t="shared" si="0"/>
        <v>0.71912289718977029</v>
      </c>
      <c r="I32" s="91">
        <v>3.7979079556030949E-2</v>
      </c>
      <c r="J32" s="91">
        <v>0.17133996416019559</v>
      </c>
      <c r="K32" s="91">
        <v>7.155805909400309E-2</v>
      </c>
      <c r="L32" s="93">
        <f t="shared" si="1"/>
        <v>1</v>
      </c>
    </row>
    <row r="33" spans="2:12">
      <c r="B33" s="245"/>
      <c r="C33" s="87" t="s">
        <v>115</v>
      </c>
      <c r="D33" s="91">
        <v>0.2225125713670689</v>
      </c>
      <c r="E33" s="91">
        <v>0.30266395340396829</v>
      </c>
      <c r="F33" s="91">
        <v>0.18127298075936313</v>
      </c>
      <c r="G33" s="91">
        <v>3.5980766872163776E-2</v>
      </c>
      <c r="H33" s="92">
        <f t="shared" si="0"/>
        <v>0.7424302724025641</v>
      </c>
      <c r="I33" s="91">
        <v>2.0557220057118686E-2</v>
      </c>
      <c r="J33" s="91">
        <v>0.18492987817850967</v>
      </c>
      <c r="K33" s="91">
        <v>5.2082629361807575E-2</v>
      </c>
      <c r="L33" s="93">
        <f t="shared" si="1"/>
        <v>1</v>
      </c>
    </row>
    <row r="34" spans="2:12">
      <c r="B34" s="245"/>
      <c r="C34" s="87" t="s">
        <v>116</v>
      </c>
      <c r="D34" s="91">
        <v>0.43869258642524056</v>
      </c>
      <c r="E34" s="91">
        <v>0.21552693077791321</v>
      </c>
      <c r="F34" s="91">
        <v>0.14247361281064957</v>
      </c>
      <c r="G34" s="91">
        <v>6.7169980618337927E-2</v>
      </c>
      <c r="H34" s="92">
        <f t="shared" si="0"/>
        <v>0.86386311063214127</v>
      </c>
      <c r="I34" s="91">
        <v>2.6988341330889953E-2</v>
      </c>
      <c r="J34" s="91">
        <v>8.3269934448916325E-2</v>
      </c>
      <c r="K34" s="91">
        <v>2.5878613588052445E-2</v>
      </c>
      <c r="L34" s="93">
        <f t="shared" si="1"/>
        <v>1</v>
      </c>
    </row>
    <row r="35" spans="2:12">
      <c r="B35" s="245"/>
      <c r="C35" s="87" t="s">
        <v>117</v>
      </c>
      <c r="D35" s="91">
        <v>0.29259769434865812</v>
      </c>
      <c r="E35" s="91">
        <v>0.2126995719660901</v>
      </c>
      <c r="F35" s="91">
        <v>0.16479305531159574</v>
      </c>
      <c r="G35" s="91">
        <v>8.3841026541800326E-2</v>
      </c>
      <c r="H35" s="92">
        <f t="shared" si="0"/>
        <v>0.75393134816814433</v>
      </c>
      <c r="I35" s="91">
        <v>3.3590954894655585E-2</v>
      </c>
      <c r="J35" s="91">
        <v>0.1505468294982851</v>
      </c>
      <c r="K35" s="91">
        <v>6.193086743891503E-2</v>
      </c>
      <c r="L35" s="93">
        <f t="shared" si="1"/>
        <v>1</v>
      </c>
    </row>
    <row r="36" spans="2:12">
      <c r="B36" s="245"/>
      <c r="C36" s="87" t="s">
        <v>118</v>
      </c>
      <c r="D36" s="91">
        <v>0.33603705688569591</v>
      </c>
      <c r="E36" s="91">
        <v>0.21091273364606916</v>
      </c>
      <c r="F36" s="91">
        <v>0.18422534179434766</v>
      </c>
      <c r="G36" s="91">
        <v>9.5341690827911149E-2</v>
      </c>
      <c r="H36" s="92">
        <f t="shared" si="0"/>
        <v>0.82651682315402386</v>
      </c>
      <c r="I36" s="91">
        <v>2.6375239986653917E-2</v>
      </c>
      <c r="J36" s="91">
        <v>0.10247101646043674</v>
      </c>
      <c r="K36" s="91">
        <v>4.4636920398885491E-2</v>
      </c>
      <c r="L36" s="93">
        <f t="shared" si="1"/>
        <v>1</v>
      </c>
    </row>
    <row r="37" spans="2:12">
      <c r="B37" s="250"/>
      <c r="C37" s="94" t="s">
        <v>99</v>
      </c>
      <c r="D37" s="95">
        <v>0.3955695019936335</v>
      </c>
      <c r="E37" s="95">
        <v>0.19165418168544793</v>
      </c>
      <c r="F37" s="95">
        <v>0.13927123947269782</v>
      </c>
      <c r="G37" s="95">
        <v>5.1198614818228863E-2</v>
      </c>
      <c r="H37" s="96">
        <f t="shared" si="0"/>
        <v>0.77769353797000806</v>
      </c>
      <c r="I37" s="95">
        <v>5.3677303530937651E-2</v>
      </c>
      <c r="J37" s="95">
        <v>0.10501671647447534</v>
      </c>
      <c r="K37" s="95">
        <v>6.36124420245789E-2</v>
      </c>
      <c r="L37" s="97">
        <f t="shared" si="1"/>
        <v>1</v>
      </c>
    </row>
    <row r="38" spans="2:12">
      <c r="B38" s="244" t="s">
        <v>20</v>
      </c>
      <c r="C38" s="87" t="s">
        <v>110</v>
      </c>
      <c r="D38" s="91">
        <v>0.52887206087764804</v>
      </c>
      <c r="E38" s="91">
        <v>9.9517787900878285E-2</v>
      </c>
      <c r="F38" s="91">
        <v>3.9344055174128804E-2</v>
      </c>
      <c r="G38" s="91">
        <v>1.5791969950234588E-2</v>
      </c>
      <c r="H38" s="92">
        <f t="shared" si="0"/>
        <v>0.68352587390288966</v>
      </c>
      <c r="I38" s="91">
        <v>0.18510968344866383</v>
      </c>
      <c r="J38" s="91">
        <v>4.6336080474972396E-2</v>
      </c>
      <c r="K38" s="91">
        <v>8.5028362173474023E-2</v>
      </c>
      <c r="L38" s="93">
        <f t="shared" si="1"/>
        <v>0.99999999999999989</v>
      </c>
    </row>
    <row r="39" spans="2:12">
      <c r="B39" s="245"/>
      <c r="C39" s="87" t="s">
        <v>111</v>
      </c>
      <c r="D39" s="91">
        <v>0.1858619117181039</v>
      </c>
      <c r="E39" s="91">
        <v>0.15986891429189756</v>
      </c>
      <c r="F39" s="91">
        <v>2.546741793617301E-2</v>
      </c>
      <c r="G39" s="91">
        <v>6.4128426894211665E-2</v>
      </c>
      <c r="H39" s="92">
        <f t="shared" si="0"/>
        <v>0.43532667084038618</v>
      </c>
      <c r="I39" s="91">
        <v>0.24080042664688014</v>
      </c>
      <c r="J39" s="91">
        <v>0.19221524025938894</v>
      </c>
      <c r="K39" s="91">
        <v>0.13165766225334477</v>
      </c>
      <c r="L39" s="93">
        <f t="shared" si="1"/>
        <v>1</v>
      </c>
    </row>
    <row r="40" spans="2:12">
      <c r="B40" s="245"/>
      <c r="C40" s="87" t="s">
        <v>112</v>
      </c>
      <c r="D40" s="91">
        <v>9.9709826050142308E-2</v>
      </c>
      <c r="E40" s="91">
        <v>0.25089076295044177</v>
      </c>
      <c r="F40" s="91">
        <v>0.34202207052555789</v>
      </c>
      <c r="G40" s="91">
        <v>9.6353820623673123E-3</v>
      </c>
      <c r="H40" s="92">
        <f t="shared" si="0"/>
        <v>0.70225804158850935</v>
      </c>
      <c r="I40" s="91">
        <v>3.183878812975318E-2</v>
      </c>
      <c r="J40" s="91">
        <v>0.14985213180510445</v>
      </c>
      <c r="K40" s="91">
        <v>0.11605103847663312</v>
      </c>
      <c r="L40" s="93">
        <f t="shared" si="1"/>
        <v>1</v>
      </c>
    </row>
    <row r="41" spans="2:12">
      <c r="B41" s="245"/>
      <c r="C41" s="87" t="s">
        <v>113</v>
      </c>
      <c r="D41" s="91">
        <v>0.38421299188007496</v>
      </c>
      <c r="E41" s="91">
        <v>0.1161636109784326</v>
      </c>
      <c r="F41" s="91">
        <v>5.0473968475585114E-2</v>
      </c>
      <c r="G41" s="91">
        <v>1.3227027225631039E-2</v>
      </c>
      <c r="H41" s="92">
        <f t="shared" si="0"/>
        <v>0.56407759855972384</v>
      </c>
      <c r="I41" s="91">
        <v>1.4283352316566852E-2</v>
      </c>
      <c r="J41" s="91">
        <v>0.35192159312194582</v>
      </c>
      <c r="K41" s="91">
        <v>6.97174560017636E-2</v>
      </c>
      <c r="L41" s="93">
        <f t="shared" si="1"/>
        <v>1</v>
      </c>
    </row>
    <row r="42" spans="2:12">
      <c r="B42" s="245"/>
      <c r="C42" s="87" t="s">
        <v>114</v>
      </c>
      <c r="D42" s="91">
        <v>0.26954693528637108</v>
      </c>
      <c r="E42" s="91">
        <v>0.21301203705842942</v>
      </c>
      <c r="F42" s="91">
        <v>0.12197860591918305</v>
      </c>
      <c r="G42" s="91">
        <v>6.2620428343691525E-2</v>
      </c>
      <c r="H42" s="92">
        <f t="shared" si="0"/>
        <v>0.6671580066076751</v>
      </c>
      <c r="I42" s="91">
        <v>6.5961231892428904E-2</v>
      </c>
      <c r="J42" s="91">
        <v>0.19610932698750086</v>
      </c>
      <c r="K42" s="91">
        <v>7.0771434512395162E-2</v>
      </c>
      <c r="L42" s="93">
        <f t="shared" si="1"/>
        <v>1</v>
      </c>
    </row>
    <row r="43" spans="2:12">
      <c r="B43" s="245"/>
      <c r="C43" s="87" t="s">
        <v>115</v>
      </c>
      <c r="D43" s="91">
        <v>0.22056049921144996</v>
      </c>
      <c r="E43" s="91">
        <v>0.29658821881095992</v>
      </c>
      <c r="F43" s="91">
        <v>0.17633703239342</v>
      </c>
      <c r="G43" s="91">
        <v>3.28532578432887E-2</v>
      </c>
      <c r="H43" s="92">
        <f t="shared" si="0"/>
        <v>0.72633900825911868</v>
      </c>
      <c r="I43" s="91">
        <v>2.1141762975150795E-2</v>
      </c>
      <c r="J43" s="91">
        <v>0.19827991909728085</v>
      </c>
      <c r="K43" s="91">
        <v>5.4239309668449733E-2</v>
      </c>
      <c r="L43" s="93">
        <f t="shared" si="1"/>
        <v>1</v>
      </c>
    </row>
    <row r="44" spans="2:12">
      <c r="B44" s="245"/>
      <c r="C44" s="87" t="s">
        <v>116</v>
      </c>
      <c r="D44" s="91">
        <v>0.41518285730264121</v>
      </c>
      <c r="E44" s="91">
        <v>0.21295240521588377</v>
      </c>
      <c r="F44" s="91">
        <v>0.1337696473344249</v>
      </c>
      <c r="G44" s="91">
        <v>6.1016643727300125E-2</v>
      </c>
      <c r="H44" s="92">
        <f t="shared" si="0"/>
        <v>0.82292155358024999</v>
      </c>
      <c r="I44" s="91">
        <v>4.8304713496114808E-2</v>
      </c>
      <c r="J44" s="91">
        <v>0.10179952339970733</v>
      </c>
      <c r="K44" s="91">
        <v>2.6974209523927883E-2</v>
      </c>
      <c r="L44" s="93">
        <f t="shared" si="1"/>
        <v>1</v>
      </c>
    </row>
    <row r="45" spans="2:12">
      <c r="B45" s="245"/>
      <c r="C45" s="87" t="s">
        <v>117</v>
      </c>
      <c r="D45" s="91">
        <v>0.25437519097461458</v>
      </c>
      <c r="E45" s="91">
        <v>0.20259186253422565</v>
      </c>
      <c r="F45" s="91">
        <v>0.156883773598471</v>
      </c>
      <c r="G45" s="91">
        <v>7.8528761525879676E-2</v>
      </c>
      <c r="H45" s="92">
        <f t="shared" si="0"/>
        <v>0.69237958863319093</v>
      </c>
      <c r="I45" s="91">
        <v>6.0566662872138376E-2</v>
      </c>
      <c r="J45" s="91">
        <v>0.18298813111493226</v>
      </c>
      <c r="K45" s="91">
        <v>6.4065617379738413E-2</v>
      </c>
      <c r="L45" s="93">
        <f t="shared" si="1"/>
        <v>1</v>
      </c>
    </row>
    <row r="46" spans="2:12">
      <c r="B46" s="245"/>
      <c r="C46" s="87" t="s">
        <v>118</v>
      </c>
      <c r="D46" s="91">
        <v>0.31400672616765435</v>
      </c>
      <c r="E46" s="91">
        <v>0.20468033615886486</v>
      </c>
      <c r="F46" s="91">
        <v>0.17075473410918862</v>
      </c>
      <c r="G46" s="91">
        <v>8.542916431265038E-2</v>
      </c>
      <c r="H46" s="92">
        <f t="shared" si="0"/>
        <v>0.77487096074835815</v>
      </c>
      <c r="I46" s="91">
        <v>5.0097026410193701E-2</v>
      </c>
      <c r="J46" s="91">
        <v>0.12695668147249459</v>
      </c>
      <c r="K46" s="91">
        <v>4.8075331368953471E-2</v>
      </c>
      <c r="L46" s="93">
        <f t="shared" si="1"/>
        <v>0.99999999999999989</v>
      </c>
    </row>
    <row r="47" spans="2:12">
      <c r="B47" s="245"/>
      <c r="C47" s="94" t="s">
        <v>99</v>
      </c>
      <c r="D47" s="95">
        <v>0.35574468411622751</v>
      </c>
      <c r="E47" s="95">
        <v>0.18354572996448618</v>
      </c>
      <c r="F47" s="95">
        <v>0.13092004721535547</v>
      </c>
      <c r="G47" s="95">
        <v>4.7347589165022269E-2</v>
      </c>
      <c r="H47" s="96">
        <f t="shared" si="0"/>
        <v>0.71755805046109133</v>
      </c>
      <c r="I47" s="95">
        <v>8.6308953652987602E-2</v>
      </c>
      <c r="J47" s="95">
        <v>0.13013099319776608</v>
      </c>
      <c r="K47" s="95">
        <v>6.6002002688154857E-2</v>
      </c>
      <c r="L47" s="97">
        <f t="shared" si="1"/>
        <v>0.99999999999999989</v>
      </c>
    </row>
    <row r="48" spans="2:12">
      <c r="B48" s="244" t="s">
        <v>21</v>
      </c>
      <c r="C48" s="87" t="s">
        <v>110</v>
      </c>
      <c r="D48" s="91">
        <v>0.62545655452522808</v>
      </c>
      <c r="E48" s="91">
        <v>0.10855619764368589</v>
      </c>
      <c r="F48" s="91">
        <v>4.4726664576147171E-2</v>
      </c>
      <c r="G48" s="91">
        <v>7.8125699950723475E-3</v>
      </c>
      <c r="H48" s="92">
        <f t="shared" si="0"/>
        <v>0.78655198674013338</v>
      </c>
      <c r="I48" s="91">
        <v>0.12869088682823396</v>
      </c>
      <c r="J48" s="91">
        <v>2.8304140721826517E-2</v>
      </c>
      <c r="K48" s="91">
        <v>5.6452985709806031E-2</v>
      </c>
      <c r="L48" s="93">
        <f t="shared" si="1"/>
        <v>0.99999999999999989</v>
      </c>
    </row>
    <row r="49" spans="2:12">
      <c r="B49" s="245"/>
      <c r="C49" s="87" t="s">
        <v>111</v>
      </c>
      <c r="D49" s="91">
        <v>0.34311415720711075</v>
      </c>
      <c r="E49" s="91">
        <v>0.29029235382308843</v>
      </c>
      <c r="F49" s="91">
        <v>4.3558577853930178E-2</v>
      </c>
      <c r="G49" s="91">
        <v>7.0812807881773396E-2</v>
      </c>
      <c r="H49" s="92">
        <f t="shared" si="0"/>
        <v>0.74777789676590267</v>
      </c>
      <c r="I49" s="91">
        <v>0.13324587706146926</v>
      </c>
      <c r="J49" s="91">
        <v>3.4777254230027844E-2</v>
      </c>
      <c r="K49" s="91">
        <v>8.4198971942600134E-2</v>
      </c>
      <c r="L49" s="93">
        <f t="shared" si="1"/>
        <v>1</v>
      </c>
    </row>
    <row r="50" spans="2:12">
      <c r="B50" s="245"/>
      <c r="C50" s="87" t="s">
        <v>112</v>
      </c>
      <c r="D50" s="91">
        <v>0.11891348170140621</v>
      </c>
      <c r="E50" s="91">
        <v>0.24891603697439454</v>
      </c>
      <c r="F50" s="91">
        <v>0.34266616372404674</v>
      </c>
      <c r="G50" s="91">
        <v>7.9456821970480505E-3</v>
      </c>
      <c r="H50" s="92">
        <f t="shared" si="0"/>
        <v>0.71844136459689556</v>
      </c>
      <c r="I50" s="91">
        <v>1.3660570515394505E-2</v>
      </c>
      <c r="J50" s="91">
        <v>0.12245030399636583</v>
      </c>
      <c r="K50" s="91">
        <v>0.14544776089134412</v>
      </c>
      <c r="L50" s="93">
        <f t="shared" si="1"/>
        <v>1</v>
      </c>
    </row>
    <row r="51" spans="2:12">
      <c r="B51" s="245"/>
      <c r="C51" s="87" t="s">
        <v>113</v>
      </c>
      <c r="D51" s="91">
        <v>0.42055377594453464</v>
      </c>
      <c r="E51" s="91">
        <v>0.11439729694150687</v>
      </c>
      <c r="F51" s="91">
        <v>5.2939074616199545E-2</v>
      </c>
      <c r="G51" s="91">
        <v>9.3027337750669174E-3</v>
      </c>
      <c r="H51" s="92">
        <f t="shared" si="0"/>
        <v>0.59719288127730796</v>
      </c>
      <c r="I51" s="91">
        <v>8.494072954997085E-3</v>
      </c>
      <c r="J51" s="91">
        <v>0.3493101308275296</v>
      </c>
      <c r="K51" s="91">
        <v>4.5002914940165367E-2</v>
      </c>
      <c r="L51" s="93">
        <f t="shared" si="1"/>
        <v>1</v>
      </c>
    </row>
    <row r="52" spans="2:12">
      <c r="B52" s="245"/>
      <c r="C52" s="87" t="s">
        <v>114</v>
      </c>
      <c r="D52" s="91">
        <v>0.29342777275688853</v>
      </c>
      <c r="E52" s="91">
        <v>0.21672726763207859</v>
      </c>
      <c r="F52" s="91">
        <v>0.13568310949508536</v>
      </c>
      <c r="G52" s="91">
        <v>5.4779069197194843E-2</v>
      </c>
      <c r="H52" s="92">
        <f t="shared" si="0"/>
        <v>0.7006172190812473</v>
      </c>
      <c r="I52" s="91">
        <v>3.4237793984741166E-2</v>
      </c>
      <c r="J52" s="91">
        <v>0.1955904916034385</v>
      </c>
      <c r="K52" s="91">
        <v>6.9554495330573007E-2</v>
      </c>
      <c r="L52" s="93">
        <f t="shared" si="1"/>
        <v>0.99999999999999989</v>
      </c>
    </row>
    <row r="53" spans="2:12">
      <c r="B53" s="245"/>
      <c r="C53" s="87" t="s">
        <v>115</v>
      </c>
      <c r="D53" s="91">
        <v>0.21365233476554471</v>
      </c>
      <c r="E53" s="91">
        <v>0.28733618470633143</v>
      </c>
      <c r="F53" s="91">
        <v>0.16891938183277383</v>
      </c>
      <c r="G53" s="91">
        <v>2.7135348869075E-2</v>
      </c>
      <c r="H53" s="92">
        <f t="shared" si="0"/>
        <v>0.69704325017372504</v>
      </c>
      <c r="I53" s="91">
        <v>9.2343378387636649E-3</v>
      </c>
      <c r="J53" s="91">
        <v>0.23287463419885879</v>
      </c>
      <c r="K53" s="91">
        <v>6.0847777788652579E-2</v>
      </c>
      <c r="L53" s="93">
        <f t="shared" si="1"/>
        <v>1</v>
      </c>
    </row>
    <row r="54" spans="2:12">
      <c r="B54" s="245"/>
      <c r="C54" s="87" t="s">
        <v>116</v>
      </c>
      <c r="D54" s="91">
        <v>0.44283703677721459</v>
      </c>
      <c r="E54" s="91">
        <v>0.2167588873884144</v>
      </c>
      <c r="F54" s="91">
        <v>0.13676362265209843</v>
      </c>
      <c r="G54" s="91">
        <v>5.7018274610217648E-2</v>
      </c>
      <c r="H54" s="92">
        <f t="shared" si="0"/>
        <v>0.85337782142794505</v>
      </c>
      <c r="I54" s="91">
        <v>1.2859748504884336E-2</v>
      </c>
      <c r="J54" s="91">
        <v>0.1035159332853961</v>
      </c>
      <c r="K54" s="91">
        <v>3.0246496781774497E-2</v>
      </c>
      <c r="L54" s="93">
        <f t="shared" si="1"/>
        <v>1</v>
      </c>
    </row>
    <row r="55" spans="2:12">
      <c r="B55" s="245"/>
      <c r="C55" s="87" t="s">
        <v>117</v>
      </c>
      <c r="D55" s="91">
        <v>0.2809591950199149</v>
      </c>
      <c r="E55" s="91">
        <v>0.22365722723005552</v>
      </c>
      <c r="F55" s="91">
        <v>0.15791536407302423</v>
      </c>
      <c r="G55" s="91">
        <v>7.0800331762625665E-2</v>
      </c>
      <c r="H55" s="92">
        <f t="shared" si="0"/>
        <v>0.73333211808562027</v>
      </c>
      <c r="I55" s="91">
        <v>3.0642471084699727E-2</v>
      </c>
      <c r="J55" s="91">
        <v>0.17338242934094078</v>
      </c>
      <c r="K55" s="91">
        <v>6.2642981488739216E-2</v>
      </c>
      <c r="L55" s="93">
        <f t="shared" si="1"/>
        <v>1</v>
      </c>
    </row>
    <row r="56" spans="2:12">
      <c r="B56" s="245"/>
      <c r="C56" s="87" t="s">
        <v>118</v>
      </c>
      <c r="D56" s="91">
        <v>0.33343020323103773</v>
      </c>
      <c r="E56" s="91">
        <v>0.21175207529953127</v>
      </c>
      <c r="F56" s="91">
        <v>0.16946610632700967</v>
      </c>
      <c r="G56" s="91">
        <v>8.1262300092904763E-2</v>
      </c>
      <c r="H56" s="92">
        <f t="shared" si="0"/>
        <v>0.79591068495048345</v>
      </c>
      <c r="I56" s="91">
        <v>1.9559688671190942E-2</v>
      </c>
      <c r="J56" s="91">
        <v>0.13542261124102384</v>
      </c>
      <c r="K56" s="91">
        <v>4.9107015137301785E-2</v>
      </c>
      <c r="L56" s="93">
        <f t="shared" si="1"/>
        <v>1</v>
      </c>
    </row>
    <row r="57" spans="2:12">
      <c r="B57" s="245"/>
      <c r="C57" s="94" t="s">
        <v>99</v>
      </c>
      <c r="D57" s="95">
        <v>0.39695790664366454</v>
      </c>
      <c r="E57" s="95">
        <v>0.19212604923003493</v>
      </c>
      <c r="F57" s="95">
        <v>0.13777889789817585</v>
      </c>
      <c r="G57" s="95">
        <v>4.1792262024907559E-2</v>
      </c>
      <c r="H57" s="96">
        <f t="shared" si="0"/>
        <v>0.76865511579678292</v>
      </c>
      <c r="I57" s="95">
        <v>4.6418706208899235E-2</v>
      </c>
      <c r="J57" s="95">
        <v>0.12558643692799051</v>
      </c>
      <c r="K57" s="95">
        <v>5.9339741066327362E-2</v>
      </c>
      <c r="L57" s="97">
        <f t="shared" si="1"/>
        <v>1</v>
      </c>
    </row>
    <row r="58" spans="2:12">
      <c r="B58" s="244" t="s">
        <v>22</v>
      </c>
      <c r="C58" s="87" t="s">
        <v>110</v>
      </c>
      <c r="D58" s="91">
        <v>0.70241723662094135</v>
      </c>
      <c r="E58" s="91">
        <v>0.11098740010575142</v>
      </c>
      <c r="F58" s="91">
        <v>4.3061460487230301E-2</v>
      </c>
      <c r="G58" s="91">
        <v>6.9168303807480838E-3</v>
      </c>
      <c r="H58" s="92">
        <f t="shared" si="0"/>
        <v>0.86338292759467106</v>
      </c>
      <c r="I58" s="91">
        <v>5.1160471324600963E-2</v>
      </c>
      <c r="J58" s="91">
        <v>2.2732255471346094E-2</v>
      </c>
      <c r="K58" s="91">
        <v>6.2724345609381782E-2</v>
      </c>
      <c r="L58" s="93">
        <f t="shared" si="1"/>
        <v>0.99999999999999989</v>
      </c>
    </row>
    <row r="59" spans="2:12">
      <c r="B59" s="245"/>
      <c r="C59" s="87" t="s">
        <v>111</v>
      </c>
      <c r="D59" s="91">
        <v>0.39608445918614998</v>
      </c>
      <c r="E59" s="91">
        <v>0.34867729148127174</v>
      </c>
      <c r="F59" s="91">
        <v>6.0917401504732627E-2</v>
      </c>
      <c r="G59" s="91">
        <v>5.6548822910767738E-2</v>
      </c>
      <c r="H59" s="92">
        <f t="shared" si="0"/>
        <v>0.86222797508292226</v>
      </c>
      <c r="I59" s="91">
        <v>9.5380632634900084E-2</v>
      </c>
      <c r="J59" s="91">
        <v>1.3672033007038266E-2</v>
      </c>
      <c r="K59" s="91">
        <v>2.8719359275139553E-2</v>
      </c>
      <c r="L59" s="93">
        <f t="shared" si="1"/>
        <v>1</v>
      </c>
    </row>
    <row r="60" spans="2:12">
      <c r="B60" s="245"/>
      <c r="C60" s="87" t="s">
        <v>112</v>
      </c>
      <c r="D60" s="91">
        <v>0.1078298244163941</v>
      </c>
      <c r="E60" s="91">
        <v>0.25959687798887693</v>
      </c>
      <c r="F60" s="91">
        <v>0.35472139238862188</v>
      </c>
      <c r="G60" s="91">
        <v>8.584349797494362E-3</v>
      </c>
      <c r="H60" s="92">
        <f t="shared" si="0"/>
        <v>0.73073244459138731</v>
      </c>
      <c r="I60" s="91">
        <v>5.5497172005809494E-3</v>
      </c>
      <c r="J60" s="91">
        <v>0.12894236559647651</v>
      </c>
      <c r="K60" s="91">
        <v>0.13477547261155523</v>
      </c>
      <c r="L60" s="93">
        <f t="shared" si="1"/>
        <v>1</v>
      </c>
    </row>
    <row r="61" spans="2:12">
      <c r="B61" s="245"/>
      <c r="C61" s="87" t="s">
        <v>113</v>
      </c>
      <c r="D61" s="91">
        <v>0.48586267671654104</v>
      </c>
      <c r="E61" s="91">
        <v>0.11375482806464919</v>
      </c>
      <c r="F61" s="91">
        <v>5.3136835789552632E-2</v>
      </c>
      <c r="G61" s="91">
        <v>7.9686503918701013E-3</v>
      </c>
      <c r="H61" s="92">
        <f t="shared" si="0"/>
        <v>0.660722990962613</v>
      </c>
      <c r="I61" s="91">
        <v>3.1687103911201111E-3</v>
      </c>
      <c r="J61" s="91">
        <v>0.28445269434132076</v>
      </c>
      <c r="K61" s="91">
        <v>5.1655604304946187E-2</v>
      </c>
      <c r="L61" s="93">
        <f t="shared" si="1"/>
        <v>1</v>
      </c>
    </row>
    <row r="62" spans="2:12">
      <c r="B62" s="245"/>
      <c r="C62" s="87" t="s">
        <v>114</v>
      </c>
      <c r="D62" s="91">
        <v>0.27587284578980265</v>
      </c>
      <c r="E62" s="91">
        <v>0.22356906866684526</v>
      </c>
      <c r="F62" s="91">
        <v>0.12777926600589337</v>
      </c>
      <c r="G62" s="91">
        <v>5.5071881417983748E-2</v>
      </c>
      <c r="H62" s="92">
        <f t="shared" si="0"/>
        <v>0.68229306188052496</v>
      </c>
      <c r="I62" s="91">
        <v>1.0849182962764532E-2</v>
      </c>
      <c r="J62" s="91">
        <v>0.22988659701759084</v>
      </c>
      <c r="K62" s="91">
        <v>7.6971158139119561E-2</v>
      </c>
      <c r="L62" s="93">
        <f t="shared" si="1"/>
        <v>0.99999999999999989</v>
      </c>
    </row>
    <row r="63" spans="2:12">
      <c r="B63" s="245"/>
      <c r="C63" s="87" t="s">
        <v>115</v>
      </c>
      <c r="D63" s="91">
        <v>0.21311385609816219</v>
      </c>
      <c r="E63" s="91">
        <v>0.28040864397031035</v>
      </c>
      <c r="F63" s="91">
        <v>0.17211251403686562</v>
      </c>
      <c r="G63" s="91">
        <v>2.7772452137711921E-2</v>
      </c>
      <c r="H63" s="92">
        <f t="shared" si="0"/>
        <v>0.69340746624305016</v>
      </c>
      <c r="I63" s="91">
        <v>3.9851003807071838E-3</v>
      </c>
      <c r="J63" s="91">
        <v>0.24903453753663279</v>
      </c>
      <c r="K63" s="91">
        <v>5.3572895839609981E-2</v>
      </c>
      <c r="L63" s="93">
        <f t="shared" si="1"/>
        <v>1.0000000000000002</v>
      </c>
    </row>
    <row r="64" spans="2:12">
      <c r="B64" s="245"/>
      <c r="C64" s="87" t="s">
        <v>116</v>
      </c>
      <c r="D64" s="91">
        <v>0.43549579334999866</v>
      </c>
      <c r="E64" s="91">
        <v>0.22418218960836492</v>
      </c>
      <c r="F64" s="91">
        <v>0.13336962072951106</v>
      </c>
      <c r="G64" s="91">
        <v>6.1023304572211917E-2</v>
      </c>
      <c r="H64" s="92">
        <f t="shared" si="0"/>
        <v>0.85407090826008658</v>
      </c>
      <c r="I64" s="91">
        <v>4.2940085476977667E-3</v>
      </c>
      <c r="J64" s="91">
        <v>0.11390210466897831</v>
      </c>
      <c r="K64" s="91">
        <v>2.7732978523237372E-2</v>
      </c>
      <c r="L64" s="93">
        <f t="shared" si="1"/>
        <v>1</v>
      </c>
    </row>
    <row r="65" spans="2:12">
      <c r="B65" s="245"/>
      <c r="C65" s="87" t="s">
        <v>117</v>
      </c>
      <c r="D65" s="91">
        <v>0.26744880777795882</v>
      </c>
      <c r="E65" s="91">
        <v>0.21894519580685459</v>
      </c>
      <c r="F65" s="91">
        <v>0.16009450871761446</v>
      </c>
      <c r="G65" s="91">
        <v>8.5791103144859049E-2</v>
      </c>
      <c r="H65" s="92">
        <f t="shared" si="0"/>
        <v>0.73227961544728692</v>
      </c>
      <c r="I65" s="91">
        <v>8.9348758894139367E-3</v>
      </c>
      <c r="J65" s="91">
        <v>0.19222204117103905</v>
      </c>
      <c r="K65" s="91">
        <v>6.6563467492260067E-2</v>
      </c>
      <c r="L65" s="93">
        <f t="shared" si="1"/>
        <v>0.99999999999999989</v>
      </c>
    </row>
    <row r="66" spans="2:12">
      <c r="B66" s="245"/>
      <c r="C66" s="87" t="s">
        <v>118</v>
      </c>
      <c r="D66" s="91">
        <v>0.30757506824385805</v>
      </c>
      <c r="E66" s="91">
        <v>0.21171064604185624</v>
      </c>
      <c r="F66" s="91">
        <v>0.17639672429481346</v>
      </c>
      <c r="G66" s="91">
        <v>9.7625113739763417E-2</v>
      </c>
      <c r="H66" s="92">
        <f t="shared" si="0"/>
        <v>0.79330755232029126</v>
      </c>
      <c r="I66" s="91">
        <v>3.9080982711555958E-3</v>
      </c>
      <c r="J66" s="91">
        <v>0.15479526842584168</v>
      </c>
      <c r="K66" s="91">
        <v>4.7989080982711554E-2</v>
      </c>
      <c r="L66" s="93">
        <f t="shared" si="1"/>
        <v>1</v>
      </c>
    </row>
    <row r="67" spans="2:12">
      <c r="B67" s="245"/>
      <c r="C67" s="94" t="s">
        <v>99</v>
      </c>
      <c r="D67" s="95">
        <v>0.41215460956439509</v>
      </c>
      <c r="E67" s="95">
        <v>0.19489835664717625</v>
      </c>
      <c r="F67" s="95">
        <v>0.13953106017388003</v>
      </c>
      <c r="G67" s="95">
        <v>4.5961576020930046E-2</v>
      </c>
      <c r="H67" s="96">
        <f t="shared" si="0"/>
        <v>0.7925456024063815</v>
      </c>
      <c r="I67" s="95">
        <v>1.8011447083994936E-2</v>
      </c>
      <c r="J67" s="95">
        <v>0.1302974763229415</v>
      </c>
      <c r="K67" s="95">
        <v>5.9145474186682145E-2</v>
      </c>
      <c r="L67" s="97">
        <f t="shared" si="1"/>
        <v>1</v>
      </c>
    </row>
    <row r="68" spans="2:12">
      <c r="B68" s="244" t="s">
        <v>23</v>
      </c>
      <c r="C68" s="87" t="s">
        <v>110</v>
      </c>
      <c r="D68" s="91">
        <v>0.71118127295305023</v>
      </c>
      <c r="E68" s="91">
        <v>0.10946128035086793</v>
      </c>
      <c r="F68" s="91">
        <v>3.7979867367697956E-2</v>
      </c>
      <c r="G68" s="91">
        <v>6.97508520700679E-3</v>
      </c>
      <c r="H68" s="92">
        <f t="shared" si="0"/>
        <v>0.86559750587862283</v>
      </c>
      <c r="I68" s="91">
        <v>3.8429020581785517E-2</v>
      </c>
      <c r="J68" s="91">
        <v>2.9010013474596422E-2</v>
      </c>
      <c r="K68" s="91">
        <v>6.6963460064995109E-2</v>
      </c>
      <c r="L68" s="93">
        <f t="shared" si="1"/>
        <v>0.99999999999999989</v>
      </c>
    </row>
    <row r="69" spans="2:12">
      <c r="B69" s="245"/>
      <c r="C69" s="87" t="s">
        <v>111</v>
      </c>
      <c r="D69" s="91">
        <v>0.3729418221734358</v>
      </c>
      <c r="E69" s="91">
        <v>0.32272228320526891</v>
      </c>
      <c r="F69" s="91">
        <v>5.2414928649835345E-2</v>
      </c>
      <c r="G69" s="91">
        <v>0.11745334796926454</v>
      </c>
      <c r="H69" s="92">
        <f t="shared" si="0"/>
        <v>0.86553238199780458</v>
      </c>
      <c r="I69" s="91">
        <v>3.6498353457738747E-2</v>
      </c>
      <c r="J69" s="91">
        <v>1.3721185510428101E-2</v>
      </c>
      <c r="K69" s="91">
        <v>8.4248079034028533E-2</v>
      </c>
      <c r="L69" s="93">
        <f t="shared" si="1"/>
        <v>1</v>
      </c>
    </row>
    <row r="70" spans="2:12">
      <c r="B70" s="245"/>
      <c r="C70" s="87" t="s">
        <v>112</v>
      </c>
      <c r="D70" s="91">
        <v>0.11096239367902941</v>
      </c>
      <c r="E70" s="91">
        <v>0.27852856094296446</v>
      </c>
      <c r="F70" s="91">
        <v>0.39100211562540477</v>
      </c>
      <c r="G70" s="91">
        <v>9.2396701351409698E-3</v>
      </c>
      <c r="H70" s="92">
        <f t="shared" si="0"/>
        <v>0.7897327403825396</v>
      </c>
      <c r="I70" s="91">
        <v>8.3329735330944267E-3</v>
      </c>
      <c r="J70" s="91">
        <v>9.4771382928198269E-2</v>
      </c>
      <c r="K70" s="91">
        <v>0.10716290315616769</v>
      </c>
      <c r="L70" s="93">
        <f t="shared" si="1"/>
        <v>1</v>
      </c>
    </row>
    <row r="71" spans="2:12">
      <c r="B71" s="245"/>
      <c r="C71" s="87" t="s">
        <v>113</v>
      </c>
      <c r="D71" s="91">
        <v>0.49740494870247437</v>
      </c>
      <c r="E71" s="91">
        <v>0.11213035606517803</v>
      </c>
      <c r="F71" s="91">
        <v>5.0995775497887752E-2</v>
      </c>
      <c r="G71" s="91">
        <v>6.4574532287266142E-3</v>
      </c>
      <c r="H71" s="92">
        <f t="shared" si="0"/>
        <v>0.66698853349426679</v>
      </c>
      <c r="I71" s="91">
        <v>3.2589016294508146E-3</v>
      </c>
      <c r="J71" s="91">
        <v>0.27398913699456851</v>
      </c>
      <c r="K71" s="91">
        <v>5.5763427881713942E-2</v>
      </c>
      <c r="L71" s="93">
        <f t="shared" si="1"/>
        <v>1</v>
      </c>
    </row>
    <row r="72" spans="2:12">
      <c r="B72" s="245"/>
      <c r="C72" s="87" t="s">
        <v>114</v>
      </c>
      <c r="D72" s="91">
        <v>0.34005316792202039</v>
      </c>
      <c r="E72" s="91">
        <v>0.20735489587948605</v>
      </c>
      <c r="F72" s="91">
        <v>0.12819376753802983</v>
      </c>
      <c r="G72" s="91">
        <v>4.5045045045045043E-2</v>
      </c>
      <c r="H72" s="92">
        <f t="shared" si="0"/>
        <v>0.72064687638458125</v>
      </c>
      <c r="I72" s="91">
        <v>1.1962782454585734E-2</v>
      </c>
      <c r="J72" s="91">
        <v>0.19524442475262146</v>
      </c>
      <c r="K72" s="91">
        <v>7.2145916408211497E-2</v>
      </c>
      <c r="L72" s="93">
        <f t="shared" si="1"/>
        <v>1</v>
      </c>
    </row>
    <row r="73" spans="2:12">
      <c r="B73" s="245"/>
      <c r="C73" s="87" t="s">
        <v>115</v>
      </c>
      <c r="D73" s="91">
        <v>0.23960506896025244</v>
      </c>
      <c r="E73" s="91">
        <v>0.31075372792508527</v>
      </c>
      <c r="F73" s="91">
        <v>0.17695557025802841</v>
      </c>
      <c r="G73" s="91">
        <v>2.9518041630617334E-2</v>
      </c>
      <c r="H73" s="92">
        <f t="shared" ref="H73:H98" si="2">SUM(D73:G73)</f>
        <v>0.7568324087739835</v>
      </c>
      <c r="I73" s="91">
        <v>6.1071810270242758E-3</v>
      </c>
      <c r="J73" s="91">
        <v>0.18698152577739324</v>
      </c>
      <c r="K73" s="91">
        <v>5.0078884421599065E-2</v>
      </c>
      <c r="L73" s="93">
        <f t="shared" ref="L73:L98" si="3">SUM(H73:K73)</f>
        <v>1</v>
      </c>
    </row>
    <row r="74" spans="2:12">
      <c r="B74" s="245"/>
      <c r="C74" s="87" t="s">
        <v>116</v>
      </c>
      <c r="D74" s="91">
        <v>0.46352767329392802</v>
      </c>
      <c r="E74" s="91">
        <v>0.22756582482536269</v>
      </c>
      <c r="F74" s="91">
        <v>0.1296569944474297</v>
      </c>
      <c r="G74" s="91">
        <v>5.033136306645173E-2</v>
      </c>
      <c r="H74" s="92">
        <f t="shared" si="2"/>
        <v>0.87108185563317209</v>
      </c>
      <c r="I74" s="91">
        <v>7.2765538241089016E-3</v>
      </c>
      <c r="J74" s="91">
        <v>9.7147590900949307E-2</v>
      </c>
      <c r="K74" s="91">
        <v>2.4493999641769657E-2</v>
      </c>
      <c r="L74" s="93">
        <f t="shared" si="3"/>
        <v>0.99999999999999989</v>
      </c>
    </row>
    <row r="75" spans="2:12">
      <c r="B75" s="245"/>
      <c r="C75" s="87" t="s">
        <v>117</v>
      </c>
      <c r="D75" s="91">
        <v>0.32414307004470938</v>
      </c>
      <c r="E75" s="91">
        <v>0.2364940387481371</v>
      </c>
      <c r="F75" s="91">
        <v>0.14213859910581222</v>
      </c>
      <c r="G75" s="91">
        <v>5.7656482861400897E-2</v>
      </c>
      <c r="H75" s="92">
        <f t="shared" si="2"/>
        <v>0.76043219076005963</v>
      </c>
      <c r="I75" s="91">
        <v>9.314456035767511E-3</v>
      </c>
      <c r="J75" s="91">
        <v>0.16579731743666171</v>
      </c>
      <c r="K75" s="91">
        <v>6.4456035767511174E-2</v>
      </c>
      <c r="L75" s="93">
        <f t="shared" si="3"/>
        <v>1</v>
      </c>
    </row>
    <row r="76" spans="2:12">
      <c r="B76" s="245"/>
      <c r="C76" s="87" t="s">
        <v>118</v>
      </c>
      <c r="D76" s="91">
        <v>0.36022299736485353</v>
      </c>
      <c r="E76" s="91">
        <v>0.21259386757246654</v>
      </c>
      <c r="F76" s="91">
        <v>0.15917503160652541</v>
      </c>
      <c r="G76" s="91">
        <v>9.5520251024356059E-2</v>
      </c>
      <c r="H76" s="92">
        <f t="shared" si="2"/>
        <v>0.82751214756820146</v>
      </c>
      <c r="I76" s="91">
        <v>5.6053982422202249E-3</v>
      </c>
      <c r="J76" s="91">
        <v>0.12031804542200424</v>
      </c>
      <c r="K76" s="91">
        <v>4.6564408767573992E-2</v>
      </c>
      <c r="L76" s="93">
        <f t="shared" si="3"/>
        <v>0.99999999999999978</v>
      </c>
    </row>
    <row r="77" spans="2:12">
      <c r="B77" s="245"/>
      <c r="C77" s="94" t="s">
        <v>99</v>
      </c>
      <c r="D77" s="95">
        <v>0.4505826610321424</v>
      </c>
      <c r="E77" s="95">
        <v>0.19517772533523589</v>
      </c>
      <c r="F77" s="95">
        <v>0.13152223624755319</v>
      </c>
      <c r="G77" s="95">
        <v>4.2460165011067814E-2</v>
      </c>
      <c r="H77" s="96">
        <f t="shared" si="2"/>
        <v>0.81974278762599939</v>
      </c>
      <c r="I77" s="95">
        <v>1.5966924610797066E-2</v>
      </c>
      <c r="J77" s="95">
        <v>0.10726451164407369</v>
      </c>
      <c r="K77" s="95">
        <v>5.7025776119129942E-2</v>
      </c>
      <c r="L77" s="97">
        <f t="shared" si="3"/>
        <v>1</v>
      </c>
    </row>
    <row r="78" spans="2:12">
      <c r="B78" s="244" t="s">
        <v>24</v>
      </c>
      <c r="C78" s="87" t="s">
        <v>110</v>
      </c>
      <c r="D78" s="91">
        <v>0.73089981130113069</v>
      </c>
      <c r="E78" s="91">
        <v>0.10768465001560108</v>
      </c>
      <c r="F78" s="91">
        <v>3.536989435834955E-2</v>
      </c>
      <c r="G78" s="91">
        <v>9.6355288768702734E-3</v>
      </c>
      <c r="H78" s="92">
        <f t="shared" si="2"/>
        <v>0.88358988455195164</v>
      </c>
      <c r="I78" s="91">
        <v>3.0507555383861046E-2</v>
      </c>
      <c r="J78" s="91">
        <v>2.0270270270270271E-2</v>
      </c>
      <c r="K78" s="91">
        <v>6.5632289793917067E-2</v>
      </c>
      <c r="L78" s="93">
        <f t="shared" si="3"/>
        <v>1</v>
      </c>
    </row>
    <row r="79" spans="2:12">
      <c r="B79" s="245"/>
      <c r="C79" s="87" t="s">
        <v>111</v>
      </c>
      <c r="D79" s="91">
        <v>0.35552121716391299</v>
      </c>
      <c r="E79" s="91">
        <v>0.23951028170688221</v>
      </c>
      <c r="F79" s="91">
        <v>3.8868417924640436E-2</v>
      </c>
      <c r="G79" s="91">
        <v>9.3902294068703193E-2</v>
      </c>
      <c r="H79" s="92">
        <f t="shared" si="2"/>
        <v>0.72780221086413888</v>
      </c>
      <c r="I79" s="91">
        <v>8.0173540948532032E-2</v>
      </c>
      <c r="J79" s="91">
        <v>0.11868536788303816</v>
      </c>
      <c r="K79" s="91">
        <v>7.3338880304290976E-2</v>
      </c>
      <c r="L79" s="93">
        <f t="shared" si="3"/>
        <v>1</v>
      </c>
    </row>
    <row r="80" spans="2:12">
      <c r="B80" s="245"/>
      <c r="C80" s="87" t="s">
        <v>112</v>
      </c>
      <c r="D80" s="91">
        <v>0.11592959864648933</v>
      </c>
      <c r="E80" s="91">
        <v>0.29696165053106494</v>
      </c>
      <c r="F80" s="91">
        <v>0.40054281417426452</v>
      </c>
      <c r="G80" s="91">
        <v>7.7074913055738322E-3</v>
      </c>
      <c r="H80" s="92">
        <f t="shared" si="2"/>
        <v>0.82114155465739258</v>
      </c>
      <c r="I80" s="91">
        <v>6.990788607951875E-3</v>
      </c>
      <c r="J80" s="91">
        <v>7.0283861265156497E-2</v>
      </c>
      <c r="K80" s="91">
        <v>0.10158379546949901</v>
      </c>
      <c r="L80" s="93">
        <f t="shared" si="3"/>
        <v>1</v>
      </c>
    </row>
    <row r="81" spans="2:12">
      <c r="B81" s="245"/>
      <c r="C81" s="87" t="s">
        <v>113</v>
      </c>
      <c r="D81" s="91">
        <v>0.54407877228776724</v>
      </c>
      <c r="E81" s="91">
        <v>0.12003903131375854</v>
      </c>
      <c r="F81" s="91">
        <v>5.1414885123747006E-2</v>
      </c>
      <c r="G81" s="91">
        <v>7.9127117892309057E-3</v>
      </c>
      <c r="H81" s="92">
        <f t="shared" si="2"/>
        <v>0.72344540051450379</v>
      </c>
      <c r="I81" s="91">
        <v>2.6789674443360241E-3</v>
      </c>
      <c r="J81" s="91">
        <v>0.21781247227889647</v>
      </c>
      <c r="K81" s="91">
        <v>5.6063159762263816E-2</v>
      </c>
      <c r="L81" s="93">
        <f t="shared" si="3"/>
        <v>1</v>
      </c>
    </row>
    <row r="82" spans="2:12">
      <c r="B82" s="245"/>
      <c r="C82" s="87" t="s">
        <v>114</v>
      </c>
      <c r="D82" s="91">
        <v>0.35623084780388153</v>
      </c>
      <c r="E82" s="91">
        <v>0.23738901547890312</v>
      </c>
      <c r="F82" s="91">
        <v>0.11214347450302506</v>
      </c>
      <c r="G82" s="91">
        <v>4.7870668657185513E-2</v>
      </c>
      <c r="H82" s="92">
        <f t="shared" si="2"/>
        <v>0.75363400644299527</v>
      </c>
      <c r="I82" s="91">
        <v>1.0194861318456825E-2</v>
      </c>
      <c r="J82" s="91">
        <v>0.1629017050365365</v>
      </c>
      <c r="K82" s="91">
        <v>7.3269427202011475E-2</v>
      </c>
      <c r="L82" s="93">
        <f t="shared" si="3"/>
        <v>1.0000000000000002</v>
      </c>
    </row>
    <row r="83" spans="2:12">
      <c r="B83" s="245"/>
      <c r="C83" s="87" t="s">
        <v>115</v>
      </c>
      <c r="D83" s="91">
        <v>0.25137254359640993</v>
      </c>
      <c r="E83" s="91">
        <v>0.32484684211254167</v>
      </c>
      <c r="F83" s="91">
        <v>0.18585000898895052</v>
      </c>
      <c r="G83" s="91">
        <v>2.8460400215734812E-2</v>
      </c>
      <c r="H83" s="92">
        <f t="shared" si="2"/>
        <v>0.79052979491363695</v>
      </c>
      <c r="I83" s="91">
        <v>5.9603656428482525E-3</v>
      </c>
      <c r="J83" s="91">
        <v>0.150959051873159</v>
      </c>
      <c r="K83" s="91">
        <v>5.2550787570355827E-2</v>
      </c>
      <c r="L83" s="93">
        <f t="shared" si="3"/>
        <v>1.0000000000000002</v>
      </c>
    </row>
    <row r="84" spans="2:12">
      <c r="B84" s="245"/>
      <c r="C84" s="87" t="s">
        <v>116</v>
      </c>
      <c r="D84" s="91">
        <v>0.4922027693306959</v>
      </c>
      <c r="E84" s="91">
        <v>0.23378111068465648</v>
      </c>
      <c r="F84" s="91">
        <v>0.11619969885742966</v>
      </c>
      <c r="G84" s="91">
        <v>4.6765669746981195E-2</v>
      </c>
      <c r="H84" s="92">
        <f t="shared" si="2"/>
        <v>0.88894924861976321</v>
      </c>
      <c r="I84" s="91">
        <v>8.4615157509373793E-3</v>
      </c>
      <c r="J84" s="91">
        <v>7.8586401346284432E-2</v>
      </c>
      <c r="K84" s="91">
        <v>2.400283428301497E-2</v>
      </c>
      <c r="L84" s="93">
        <f t="shared" si="3"/>
        <v>1</v>
      </c>
    </row>
    <row r="85" spans="2:12">
      <c r="B85" s="245"/>
      <c r="C85" s="87" t="s">
        <v>117</v>
      </c>
      <c r="D85" s="91">
        <v>0.34406671258486665</v>
      </c>
      <c r="E85" s="91">
        <v>0.23984059824854867</v>
      </c>
      <c r="F85" s="91">
        <v>0.14119846502017122</v>
      </c>
      <c r="G85" s="91">
        <v>6.6146807045163833E-2</v>
      </c>
      <c r="H85" s="92">
        <f t="shared" si="2"/>
        <v>0.79125258289875033</v>
      </c>
      <c r="I85" s="91">
        <v>8.5112663583587524E-3</v>
      </c>
      <c r="J85" s="91">
        <v>0.13180163337597167</v>
      </c>
      <c r="K85" s="91">
        <v>6.8434517366919217E-2</v>
      </c>
      <c r="L85" s="93">
        <f t="shared" si="3"/>
        <v>1</v>
      </c>
    </row>
    <row r="86" spans="2:12">
      <c r="B86" s="245"/>
      <c r="C86" s="87" t="s">
        <v>118</v>
      </c>
      <c r="D86" s="91">
        <v>0.38247962579758676</v>
      </c>
      <c r="E86" s="91">
        <v>0.2320334708754839</v>
      </c>
      <c r="F86" s="91">
        <v>0.15218634424482777</v>
      </c>
      <c r="G86" s="91">
        <v>7.3178457854918402E-2</v>
      </c>
      <c r="H86" s="92">
        <f t="shared" si="2"/>
        <v>0.83987789877281682</v>
      </c>
      <c r="I86" s="91">
        <v>6.0844917454140049E-3</v>
      </c>
      <c r="J86" s="91">
        <v>0.10504078954405394</v>
      </c>
      <c r="K86" s="91">
        <v>4.8996819937715208E-2</v>
      </c>
      <c r="L86" s="93">
        <f t="shared" si="3"/>
        <v>1</v>
      </c>
    </row>
    <row r="87" spans="2:12">
      <c r="B87" s="245"/>
      <c r="C87" s="94" t="s">
        <v>99</v>
      </c>
      <c r="D87" s="95">
        <v>0.46812370369927614</v>
      </c>
      <c r="E87" s="95">
        <v>0.20559503814436481</v>
      </c>
      <c r="F87" s="95">
        <v>0.12823539725328695</v>
      </c>
      <c r="G87" s="95">
        <v>3.8022828839490826E-2</v>
      </c>
      <c r="H87" s="96">
        <f t="shared" si="2"/>
        <v>0.83997696793641874</v>
      </c>
      <c r="I87" s="95">
        <v>1.4460788708710145E-2</v>
      </c>
      <c r="J87" s="95">
        <v>8.8783026405184998E-2</v>
      </c>
      <c r="K87" s="95">
        <v>5.6779216949686101E-2</v>
      </c>
      <c r="L87" s="97">
        <f t="shared" si="3"/>
        <v>1</v>
      </c>
    </row>
    <row r="88" spans="2:12">
      <c r="B88" s="244" t="s">
        <v>25</v>
      </c>
      <c r="C88" s="87" t="s">
        <v>110</v>
      </c>
      <c r="D88" s="91">
        <v>0.60902914087271631</v>
      </c>
      <c r="E88" s="91">
        <v>0.11501132417333534</v>
      </c>
      <c r="F88" s="91">
        <v>5.2815944436056167E-2</v>
      </c>
      <c r="G88" s="91">
        <v>6.6978710554129548E-3</v>
      </c>
      <c r="H88" s="92">
        <f t="shared" si="2"/>
        <v>0.78355428053752085</v>
      </c>
      <c r="I88" s="91">
        <v>0.14109014041974935</v>
      </c>
      <c r="J88" s="91">
        <v>2.2032311641250187E-2</v>
      </c>
      <c r="K88" s="91">
        <v>5.332326740147969E-2</v>
      </c>
      <c r="L88" s="93">
        <f t="shared" si="3"/>
        <v>1</v>
      </c>
    </row>
    <row r="89" spans="2:12">
      <c r="B89" s="245"/>
      <c r="C89" s="87" t="s">
        <v>111</v>
      </c>
      <c r="D89" s="91">
        <v>0.31244207599629287</v>
      </c>
      <c r="E89" s="91">
        <v>0.22984244670991658</v>
      </c>
      <c r="F89" s="91">
        <v>3.8577386468952736E-2</v>
      </c>
      <c r="G89" s="91">
        <v>6.4990732159406858E-2</v>
      </c>
      <c r="H89" s="92">
        <f t="shared" si="2"/>
        <v>0.64585264133456899</v>
      </c>
      <c r="I89" s="91">
        <v>0.15940685820203893</v>
      </c>
      <c r="J89" s="91">
        <v>6.1167747914735865E-2</v>
      </c>
      <c r="K89" s="91">
        <v>0.13357275254865617</v>
      </c>
      <c r="L89" s="93">
        <f t="shared" si="3"/>
        <v>1</v>
      </c>
    </row>
    <row r="90" spans="2:12">
      <c r="B90" s="245"/>
      <c r="C90" s="87" t="s">
        <v>112</v>
      </c>
      <c r="D90" s="91">
        <v>0.11293785923435636</v>
      </c>
      <c r="E90" s="91">
        <v>0.24071141958572823</v>
      </c>
      <c r="F90" s="91">
        <v>0.33601561652749162</v>
      </c>
      <c r="G90" s="91">
        <v>7.5046090445721721E-3</v>
      </c>
      <c r="H90" s="92">
        <f t="shared" si="2"/>
        <v>0.69716950439214831</v>
      </c>
      <c r="I90" s="91">
        <v>1.4141633228500162E-2</v>
      </c>
      <c r="J90" s="91">
        <v>0.12688428586921158</v>
      </c>
      <c r="K90" s="91">
        <v>0.16180457651013991</v>
      </c>
      <c r="L90" s="93">
        <f t="shared" si="3"/>
        <v>1</v>
      </c>
    </row>
    <row r="91" spans="2:12">
      <c r="B91" s="245"/>
      <c r="C91" s="87" t="s">
        <v>113</v>
      </c>
      <c r="D91" s="91">
        <v>0.40549580461924395</v>
      </c>
      <c r="E91" s="91">
        <v>0.11631729188893054</v>
      </c>
      <c r="F91" s="91">
        <v>5.317032380842536E-2</v>
      </c>
      <c r="G91" s="91">
        <v>9.4576280960756605E-3</v>
      </c>
      <c r="H91" s="92">
        <f t="shared" si="2"/>
        <v>0.58444104841267552</v>
      </c>
      <c r="I91" s="91">
        <v>1.2485222456099883E-2</v>
      </c>
      <c r="J91" s="91">
        <v>0.36579106715492632</v>
      </c>
      <c r="K91" s="91">
        <v>3.7282661976298259E-2</v>
      </c>
      <c r="L91" s="93">
        <f t="shared" si="3"/>
        <v>1</v>
      </c>
    </row>
    <row r="92" spans="2:12">
      <c r="B92" s="245"/>
      <c r="C92" s="87" t="s">
        <v>114</v>
      </c>
      <c r="D92" s="91">
        <v>0.3089847845181764</v>
      </c>
      <c r="E92" s="91">
        <v>0.21939194741166804</v>
      </c>
      <c r="F92" s="91">
        <v>0.12169552035814467</v>
      </c>
      <c r="G92" s="91">
        <v>4.9471566599608989E-2</v>
      </c>
      <c r="H92" s="92">
        <f t="shared" si="2"/>
        <v>0.69954381888759809</v>
      </c>
      <c r="I92" s="91">
        <v>2.6974187515938004E-2</v>
      </c>
      <c r="J92" s="91">
        <v>0.19224775451222623</v>
      </c>
      <c r="K92" s="91">
        <v>8.1234239084237672E-2</v>
      </c>
      <c r="L92" s="93">
        <f t="shared" si="3"/>
        <v>1</v>
      </c>
    </row>
    <row r="93" spans="2:12">
      <c r="B93" s="245"/>
      <c r="C93" s="87" t="s">
        <v>115</v>
      </c>
      <c r="D93" s="91">
        <v>0.21935991120155399</v>
      </c>
      <c r="E93" s="91">
        <v>0.27596892054389049</v>
      </c>
      <c r="F93" s="91">
        <v>0.16973452964573119</v>
      </c>
      <c r="G93" s="91">
        <v>2.3656461011932292E-2</v>
      </c>
      <c r="H93" s="92">
        <f t="shared" si="2"/>
        <v>0.68871982240310803</v>
      </c>
      <c r="I93" s="91">
        <v>7.8161132180186842E-3</v>
      </c>
      <c r="J93" s="91">
        <v>0.24352511331051707</v>
      </c>
      <c r="K93" s="91">
        <v>5.9938951068356304E-2</v>
      </c>
      <c r="L93" s="93">
        <f t="shared" si="3"/>
        <v>1</v>
      </c>
    </row>
    <row r="94" spans="2:12">
      <c r="B94" s="245"/>
      <c r="C94" s="87" t="s">
        <v>116</v>
      </c>
      <c r="D94" s="91">
        <v>0.4651463676530127</v>
      </c>
      <c r="E94" s="91">
        <v>0.2172191026069813</v>
      </c>
      <c r="F94" s="91">
        <v>0.11925047087609357</v>
      </c>
      <c r="G94" s="91">
        <v>4.4200742840042953E-2</v>
      </c>
      <c r="H94" s="92">
        <f t="shared" si="2"/>
        <v>0.84581668397613041</v>
      </c>
      <c r="I94" s="91">
        <v>1.05176996602651E-2</v>
      </c>
      <c r="J94" s="91">
        <v>0.11156682919959865</v>
      </c>
      <c r="K94" s="91">
        <v>3.2098787164005702E-2</v>
      </c>
      <c r="L94" s="93">
        <f t="shared" si="3"/>
        <v>0.99999999999999978</v>
      </c>
    </row>
    <row r="95" spans="2:12">
      <c r="B95" s="245"/>
      <c r="C95" s="87" t="s">
        <v>117</v>
      </c>
      <c r="D95" s="91">
        <v>0.31235892765216011</v>
      </c>
      <c r="E95" s="91">
        <v>0.21458836573872411</v>
      </c>
      <c r="F95" s="91">
        <v>0.1450916722765612</v>
      </c>
      <c r="G95" s="91">
        <v>6.0388864689343839E-2</v>
      </c>
      <c r="H95" s="92">
        <f t="shared" si="2"/>
        <v>0.73242783035678916</v>
      </c>
      <c r="I95" s="91">
        <v>2.1541995010493802E-2</v>
      </c>
      <c r="J95" s="91">
        <v>0.16928681740783275</v>
      </c>
      <c r="K95" s="91">
        <v>7.6743357224884179E-2</v>
      </c>
      <c r="L95" s="93">
        <f t="shared" si="3"/>
        <v>0.99999999999999978</v>
      </c>
    </row>
    <row r="96" spans="2:12">
      <c r="B96" s="245"/>
      <c r="C96" s="87" t="s">
        <v>118</v>
      </c>
      <c r="D96" s="91">
        <v>0.36243470303384639</v>
      </c>
      <c r="E96" s="91">
        <v>0.22349038498201554</v>
      </c>
      <c r="F96" s="91">
        <v>0.14777132398734097</v>
      </c>
      <c r="G96" s="91">
        <v>5.7035549511305433E-2</v>
      </c>
      <c r="H96" s="92">
        <f t="shared" si="2"/>
        <v>0.79073196151450831</v>
      </c>
      <c r="I96" s="91">
        <v>1.6459283925825189E-2</v>
      </c>
      <c r="J96" s="91">
        <v>0.13643411837974556</v>
      </c>
      <c r="K96" s="91">
        <v>5.6374636179920945E-2</v>
      </c>
      <c r="L96" s="93">
        <f t="shared" si="3"/>
        <v>1</v>
      </c>
    </row>
    <row r="97" spans="2:12">
      <c r="B97" s="245"/>
      <c r="C97" s="94" t="s">
        <v>99</v>
      </c>
      <c r="D97" s="95">
        <v>0.41439185466186274</v>
      </c>
      <c r="E97" s="95">
        <v>0.1923005467170775</v>
      </c>
      <c r="F97" s="95">
        <v>0.12467467713839739</v>
      </c>
      <c r="G97" s="95">
        <v>3.2766502741524935E-2</v>
      </c>
      <c r="H97" s="96">
        <f t="shared" si="2"/>
        <v>0.76413358125886255</v>
      </c>
      <c r="I97" s="95">
        <v>4.9925447671252017E-2</v>
      </c>
      <c r="J97" s="95">
        <v>0.1245682872336878</v>
      </c>
      <c r="K97" s="95">
        <v>6.1372683836197657E-2</v>
      </c>
      <c r="L97" s="97">
        <f t="shared" si="3"/>
        <v>1.0000000000000002</v>
      </c>
    </row>
    <row r="98" spans="2:12">
      <c r="B98" s="246" t="s">
        <v>26</v>
      </c>
      <c r="C98" s="261"/>
      <c r="D98" s="95">
        <v>0.36716930196827535</v>
      </c>
      <c r="E98" s="95">
        <v>0.18162063693126054</v>
      </c>
      <c r="F98" s="95">
        <v>0.12616783128729736</v>
      </c>
      <c r="G98" s="95">
        <v>4.6490094169826725E-2</v>
      </c>
      <c r="H98" s="96">
        <f t="shared" si="2"/>
        <v>0.72144786435665997</v>
      </c>
      <c r="I98" s="95">
        <v>8.5955992564412984E-2</v>
      </c>
      <c r="J98" s="95">
        <v>0.12836522870368131</v>
      </c>
      <c r="K98" s="95">
        <v>6.4230914375245737E-2</v>
      </c>
      <c r="L98" s="97">
        <f t="shared" si="3"/>
        <v>1</v>
      </c>
    </row>
    <row r="100" spans="2:12">
      <c r="B100" s="246" t="s">
        <v>103</v>
      </c>
      <c r="C100" s="261"/>
      <c r="D100" s="95">
        <v>0.40106310063503497</v>
      </c>
      <c r="E100" s="95">
        <v>0.16781717483790209</v>
      </c>
      <c r="F100" s="95">
        <v>0.1045003124706979</v>
      </c>
      <c r="G100" s="95">
        <v>2.7561982179520269E-2</v>
      </c>
      <c r="H100" s="96">
        <f t="shared" ref="H100" si="4">SUM(D100:G100)</f>
        <v>0.7009425701231552</v>
      </c>
      <c r="I100" s="95">
        <v>6.442071485165797E-2</v>
      </c>
      <c r="J100" s="95">
        <v>0.1530168751256416</v>
      </c>
      <c r="K100" s="95">
        <v>8.1619839899544813E-2</v>
      </c>
      <c r="L100" s="97">
        <f t="shared" ref="L100" si="5">SUM(H100:K100)</f>
        <v>0.99999999999999967</v>
      </c>
    </row>
    <row r="107" spans="2:12">
      <c r="B107" s="125" t="s">
        <v>101</v>
      </c>
    </row>
    <row r="108" spans="2:12">
      <c r="B108" s="69"/>
      <c r="C108" s="69"/>
      <c r="D108" s="247" t="s">
        <v>133</v>
      </c>
      <c r="E108" s="247"/>
      <c r="F108" s="247"/>
      <c r="G108" s="247"/>
      <c r="H108" s="247"/>
      <c r="I108" s="247"/>
      <c r="J108" s="247"/>
      <c r="K108" s="247"/>
      <c r="L108" s="102"/>
    </row>
    <row r="109" spans="2:12" ht="30.75" thickBot="1">
      <c r="B109" s="89" t="s">
        <v>129</v>
      </c>
      <c r="C109" s="89" t="s">
        <v>123</v>
      </c>
      <c r="D109" s="90" t="s">
        <v>134</v>
      </c>
      <c r="E109" s="90" t="s">
        <v>135</v>
      </c>
      <c r="F109" s="90" t="s">
        <v>136</v>
      </c>
      <c r="G109" s="202" t="s">
        <v>137</v>
      </c>
      <c r="H109" s="212" t="s">
        <v>138</v>
      </c>
      <c r="I109" s="90" t="s">
        <v>139</v>
      </c>
      <c r="J109" s="90" t="s">
        <v>140</v>
      </c>
      <c r="K109" s="90" t="s">
        <v>141</v>
      </c>
      <c r="L109" s="99" t="s">
        <v>142</v>
      </c>
    </row>
    <row r="110" spans="2:12" ht="16.5" thickTop="1">
      <c r="B110" s="248" t="s">
        <v>17</v>
      </c>
      <c r="C110" s="87" t="s">
        <v>110</v>
      </c>
      <c r="D110" s="91">
        <v>0.2343241987923827</v>
      </c>
      <c r="E110" s="91">
        <v>6.1388460213056037E-2</v>
      </c>
      <c r="F110" s="91">
        <v>2.5545750116117049E-2</v>
      </c>
      <c r="G110" s="91">
        <v>2.7647094077281512E-2</v>
      </c>
      <c r="H110" s="92">
        <f>SUM(D110:G110)</f>
        <v>0.34890550319883729</v>
      </c>
      <c r="I110" s="91">
        <v>0.4486949942316048</v>
      </c>
      <c r="J110" s="91">
        <v>0.1178775302278891</v>
      </c>
      <c r="K110" s="91">
        <v>8.4521972341668791E-2</v>
      </c>
      <c r="L110" s="93">
        <f>SUM(H110:K110)</f>
        <v>1</v>
      </c>
    </row>
    <row r="111" spans="2:12">
      <c r="B111" s="245"/>
      <c r="C111" s="87" t="s">
        <v>111</v>
      </c>
      <c r="D111" s="91">
        <v>8.2211566237217634E-2</v>
      </c>
      <c r="E111" s="91">
        <v>0.108960656305968</v>
      </c>
      <c r="F111" s="91">
        <v>1.542550118435496E-2</v>
      </c>
      <c r="G111" s="91">
        <v>4.0903576174244609E-2</v>
      </c>
      <c r="H111" s="92">
        <f t="shared" ref="H111:H174" si="6">SUM(D111:G111)</f>
        <v>0.24750129990178521</v>
      </c>
      <c r="I111" s="91">
        <v>0.44081113871396382</v>
      </c>
      <c r="J111" s="91">
        <v>0.23513778958923101</v>
      </c>
      <c r="K111" s="91">
        <v>7.6549771795019927E-2</v>
      </c>
      <c r="L111" s="93">
        <f t="shared" ref="L111:L174" si="7">SUM(H111:K111)</f>
        <v>1</v>
      </c>
    </row>
    <row r="112" spans="2:12">
      <c r="B112" s="245"/>
      <c r="C112" s="87" t="s">
        <v>112</v>
      </c>
      <c r="D112" s="91">
        <v>7.4083843999837667E-2</v>
      </c>
      <c r="E112" s="91">
        <v>0.15196217685970539</v>
      </c>
      <c r="F112" s="91">
        <v>0.21969481758045531</v>
      </c>
      <c r="G112" s="91">
        <v>8.258593401241833E-3</v>
      </c>
      <c r="H112" s="92">
        <f t="shared" si="6"/>
        <v>0.4539994318412402</v>
      </c>
      <c r="I112" s="91">
        <v>6.6738362891116426E-2</v>
      </c>
      <c r="J112" s="91">
        <v>0.29966316302098128</v>
      </c>
      <c r="K112" s="91">
        <v>0.17959904224666209</v>
      </c>
      <c r="L112" s="93">
        <f t="shared" si="7"/>
        <v>1</v>
      </c>
    </row>
    <row r="113" spans="2:12">
      <c r="B113" s="245"/>
      <c r="C113" s="87" t="s">
        <v>113</v>
      </c>
      <c r="D113" s="91">
        <v>0.16686025668602569</v>
      </c>
      <c r="E113" s="91">
        <v>9.7712769771276978E-2</v>
      </c>
      <c r="F113" s="91">
        <v>4.0983724098372407E-2</v>
      </c>
      <c r="G113" s="91">
        <v>1.768122176812217E-2</v>
      </c>
      <c r="H113" s="92">
        <f t="shared" si="6"/>
        <v>0.32323797232379725</v>
      </c>
      <c r="I113" s="91">
        <v>4.0367104036710399E-2</v>
      </c>
      <c r="J113" s="91">
        <v>0.56571305657130555</v>
      </c>
      <c r="K113" s="91">
        <v>7.0681867068186702E-2</v>
      </c>
      <c r="L113" s="93">
        <f t="shared" si="7"/>
        <v>0.99999999999999989</v>
      </c>
    </row>
    <row r="114" spans="2:12">
      <c r="B114" s="245"/>
      <c r="C114" s="87" t="s">
        <v>114</v>
      </c>
      <c r="D114" s="91">
        <v>0.1794094965296904</v>
      </c>
      <c r="E114" s="91">
        <v>0.14189710256692739</v>
      </c>
      <c r="F114" s="91">
        <v>4.8391539054753768E-2</v>
      </c>
      <c r="G114" s="91">
        <v>3.0461606257574089E-2</v>
      </c>
      <c r="H114" s="92">
        <f t="shared" si="6"/>
        <v>0.40015974440894564</v>
      </c>
      <c r="I114" s="91">
        <v>0.19877162057948661</v>
      </c>
      <c r="J114" s="91">
        <v>0.29037677646799598</v>
      </c>
      <c r="K114" s="91">
        <v>0.11069185854357171</v>
      </c>
      <c r="L114" s="93">
        <f t="shared" si="7"/>
        <v>0.99999999999999989</v>
      </c>
    </row>
    <row r="115" spans="2:12">
      <c r="B115" s="245"/>
      <c r="C115" s="87" t="s">
        <v>115</v>
      </c>
      <c r="D115" s="91">
        <v>0.1517243268414277</v>
      </c>
      <c r="E115" s="91">
        <v>0.1959350261593667</v>
      </c>
      <c r="F115" s="91">
        <v>0.1234831676116909</v>
      </c>
      <c r="G115" s="91">
        <v>4.0704522420357742E-2</v>
      </c>
      <c r="H115" s="92">
        <f t="shared" si="6"/>
        <v>0.51184704303284301</v>
      </c>
      <c r="I115" s="91">
        <v>9.0311447119730465E-2</v>
      </c>
      <c r="J115" s="91">
        <v>0.32023995398142818</v>
      </c>
      <c r="K115" s="91">
        <v>7.7601555865998303E-2</v>
      </c>
      <c r="L115" s="93">
        <f t="shared" si="7"/>
        <v>0.99999999999999989</v>
      </c>
    </row>
    <row r="116" spans="2:12">
      <c r="B116" s="245"/>
      <c r="C116" s="87" t="s">
        <v>116</v>
      </c>
      <c r="D116" s="91">
        <v>0.34245496195866237</v>
      </c>
      <c r="E116" s="91">
        <v>0.14542778365155379</v>
      </c>
      <c r="F116" s="91">
        <v>7.4258349399838303E-2</v>
      </c>
      <c r="G116" s="91">
        <v>4.2425938594854572E-2</v>
      </c>
      <c r="H116" s="92">
        <f t="shared" si="6"/>
        <v>0.60456703360490904</v>
      </c>
      <c r="I116" s="91">
        <v>0.14067002508447871</v>
      </c>
      <c r="J116" s="91">
        <v>0.21149739826274441</v>
      </c>
      <c r="K116" s="91">
        <v>4.3265543047867817E-2</v>
      </c>
      <c r="L116" s="93">
        <f t="shared" si="7"/>
        <v>0.99999999999999989</v>
      </c>
    </row>
    <row r="117" spans="2:12">
      <c r="B117" s="245"/>
      <c r="C117" s="87" t="s">
        <v>117</v>
      </c>
      <c r="D117" s="91">
        <v>0.21324803411968549</v>
      </c>
      <c r="E117" s="91">
        <v>0.12417255320094189</v>
      </c>
      <c r="F117" s="91">
        <v>5.0735261450975171E-2</v>
      </c>
      <c r="G117" s="91">
        <v>2.9366031365231689E-2</v>
      </c>
      <c r="H117" s="92">
        <f t="shared" si="6"/>
        <v>0.41752188013683428</v>
      </c>
      <c r="I117" s="91">
        <v>0.19067928384201879</v>
      </c>
      <c r="J117" s="91">
        <v>0.29206095339641919</v>
      </c>
      <c r="K117" s="91">
        <v>9.9737882624727894E-2</v>
      </c>
      <c r="L117" s="93">
        <f t="shared" si="7"/>
        <v>1.0000000000000002</v>
      </c>
    </row>
    <row r="118" spans="2:12">
      <c r="B118" s="245"/>
      <c r="C118" s="87" t="s">
        <v>118</v>
      </c>
      <c r="D118" s="91">
        <v>0.27669891826465592</v>
      </c>
      <c r="E118" s="91">
        <v>0.14324429253290499</v>
      </c>
      <c r="F118" s="91">
        <v>7.1450865159900429E-2</v>
      </c>
      <c r="G118" s="91">
        <v>3.9957979035192562E-2</v>
      </c>
      <c r="H118" s="92">
        <f t="shared" si="6"/>
        <v>0.53135205499265392</v>
      </c>
      <c r="I118" s="91">
        <v>0.15717515586580699</v>
      </c>
      <c r="J118" s="91">
        <v>0.23346756697091259</v>
      </c>
      <c r="K118" s="91">
        <v>7.8005222170626443E-2</v>
      </c>
      <c r="L118" s="93">
        <f t="shared" si="7"/>
        <v>1</v>
      </c>
    </row>
    <row r="119" spans="2:12">
      <c r="B119" s="245"/>
      <c r="C119" s="94" t="s">
        <v>99</v>
      </c>
      <c r="D119" s="95">
        <v>0.22782703497375631</v>
      </c>
      <c r="E119" s="95">
        <v>0.1108458977037933</v>
      </c>
      <c r="F119" s="95">
        <v>6.1571265549741967E-2</v>
      </c>
      <c r="G119" s="95">
        <v>3.0729882897727202E-2</v>
      </c>
      <c r="H119" s="96">
        <f t="shared" si="6"/>
        <v>0.43097408112501878</v>
      </c>
      <c r="I119" s="95">
        <v>0.25128327957943952</v>
      </c>
      <c r="J119" s="95">
        <v>0.23351489898259919</v>
      </c>
      <c r="K119" s="95">
        <v>8.4227740312942639E-2</v>
      </c>
      <c r="L119" s="97">
        <f t="shared" si="7"/>
        <v>1</v>
      </c>
    </row>
    <row r="120" spans="2:12">
      <c r="B120" s="249" t="s">
        <v>18</v>
      </c>
      <c r="C120" s="87" t="s">
        <v>110</v>
      </c>
      <c r="D120" s="91">
        <v>0.5929994414447961</v>
      </c>
      <c r="E120" s="91">
        <v>0.11020229970659801</v>
      </c>
      <c r="F120" s="91">
        <v>4.2970229649651047E-2</v>
      </c>
      <c r="G120" s="91">
        <v>1.202498732015485E-2</v>
      </c>
      <c r="H120" s="92">
        <f t="shared" si="6"/>
        <v>0.75819695812120003</v>
      </c>
      <c r="I120" s="91">
        <v>0.1167444577841409</v>
      </c>
      <c r="J120" s="91">
        <v>3.6659197863365842E-2</v>
      </c>
      <c r="K120" s="91">
        <v>8.8399386231293217E-2</v>
      </c>
      <c r="L120" s="93">
        <f t="shared" si="7"/>
        <v>0.99999999999999989</v>
      </c>
    </row>
    <row r="121" spans="2:12">
      <c r="B121" s="245"/>
      <c r="C121" s="87" t="s">
        <v>111</v>
      </c>
      <c r="D121" s="91">
        <v>0.28083372512145433</v>
      </c>
      <c r="E121" s="91">
        <v>0.26234132581100139</v>
      </c>
      <c r="F121" s="91">
        <v>3.9178812098417178E-2</v>
      </c>
      <c r="G121" s="91">
        <v>0.1032753486914277</v>
      </c>
      <c r="H121" s="92">
        <f t="shared" si="6"/>
        <v>0.68562921172230074</v>
      </c>
      <c r="I121" s="91">
        <v>0.1407302930575145</v>
      </c>
      <c r="J121" s="91">
        <v>3.6514652875724807E-2</v>
      </c>
      <c r="K121" s="91">
        <v>0.1371258423444601</v>
      </c>
      <c r="L121" s="93">
        <f t="shared" si="7"/>
        <v>1.0000000000000002</v>
      </c>
    </row>
    <row r="122" spans="2:12">
      <c r="B122" s="245"/>
      <c r="C122" s="87" t="s">
        <v>112</v>
      </c>
      <c r="D122" s="91">
        <v>0.1126818351361432</v>
      </c>
      <c r="E122" s="91">
        <v>0.21952629615814989</v>
      </c>
      <c r="F122" s="91">
        <v>0.29880641551659831</v>
      </c>
      <c r="G122" s="91">
        <v>9.2875792614696001E-3</v>
      </c>
      <c r="H122" s="92">
        <f t="shared" si="6"/>
        <v>0.64030212607236103</v>
      </c>
      <c r="I122" s="91">
        <v>1.6579634464751958E-2</v>
      </c>
      <c r="J122" s="91">
        <v>0.18873554643789631</v>
      </c>
      <c r="K122" s="91">
        <v>0.15438269302499069</v>
      </c>
      <c r="L122" s="93">
        <f t="shared" si="7"/>
        <v>1</v>
      </c>
    </row>
    <row r="123" spans="2:12">
      <c r="B123" s="245"/>
      <c r="C123" s="87" t="s">
        <v>113</v>
      </c>
      <c r="D123" s="91">
        <v>0.41224948492227009</v>
      </c>
      <c r="E123" s="91">
        <v>0.1229006680402073</v>
      </c>
      <c r="F123" s="91">
        <v>4.9665979896360117E-2</v>
      </c>
      <c r="G123" s="91">
        <v>1.0801023912093401E-2</v>
      </c>
      <c r="H123" s="92">
        <f t="shared" si="6"/>
        <v>0.59561715677093086</v>
      </c>
      <c r="I123" s="91">
        <v>9.802085284385342E-3</v>
      </c>
      <c r="J123" s="91">
        <v>0.32484235499781489</v>
      </c>
      <c r="K123" s="91">
        <v>6.9738402946868949E-2</v>
      </c>
      <c r="L123" s="93">
        <f t="shared" si="7"/>
        <v>1</v>
      </c>
    </row>
    <row r="124" spans="2:12">
      <c r="B124" s="245"/>
      <c r="C124" s="87" t="s">
        <v>114</v>
      </c>
      <c r="D124" s="91">
        <v>0.32546519641626459</v>
      </c>
      <c r="E124" s="91">
        <v>0.17703308063404549</v>
      </c>
      <c r="F124" s="91">
        <v>8.11078566505858E-2</v>
      </c>
      <c r="G124" s="91">
        <v>2.7653342522398341E-2</v>
      </c>
      <c r="H124" s="92">
        <f t="shared" si="6"/>
        <v>0.61125947622329435</v>
      </c>
      <c r="I124" s="91">
        <v>3.7732598208132323E-2</v>
      </c>
      <c r="J124" s="91">
        <v>0.2453049620951068</v>
      </c>
      <c r="K124" s="91">
        <v>0.1057029634734666</v>
      </c>
      <c r="L124" s="93">
        <f t="shared" si="7"/>
        <v>1</v>
      </c>
    </row>
    <row r="125" spans="2:12">
      <c r="B125" s="245"/>
      <c r="C125" s="87" t="s">
        <v>115</v>
      </c>
      <c r="D125" s="91">
        <v>0.2124572466866182</v>
      </c>
      <c r="E125" s="91">
        <v>0.27217828131680211</v>
      </c>
      <c r="F125" s="91">
        <v>0.16786019666524149</v>
      </c>
      <c r="G125" s="91">
        <v>3.1316802052159053E-2</v>
      </c>
      <c r="H125" s="92">
        <f t="shared" si="6"/>
        <v>0.68381252672082082</v>
      </c>
      <c r="I125" s="91">
        <v>1.3974989311671661E-2</v>
      </c>
      <c r="J125" s="91">
        <v>0.23992625053441641</v>
      </c>
      <c r="K125" s="91">
        <v>6.2286233433091059E-2</v>
      </c>
      <c r="L125" s="93">
        <f t="shared" si="7"/>
        <v>0.99999999999999989</v>
      </c>
    </row>
    <row r="126" spans="2:12">
      <c r="B126" s="245"/>
      <c r="C126" s="87" t="s">
        <v>116</v>
      </c>
      <c r="D126" s="91">
        <v>0.4995910912411744</v>
      </c>
      <c r="E126" s="91">
        <v>0.1908240874519532</v>
      </c>
      <c r="F126" s="91">
        <v>9.6447945915001498E-2</v>
      </c>
      <c r="G126" s="91">
        <v>3.1526865305454843E-2</v>
      </c>
      <c r="H126" s="92">
        <f t="shared" si="6"/>
        <v>0.81838998991358403</v>
      </c>
      <c r="I126" s="91">
        <v>2.1604012757953279E-2</v>
      </c>
      <c r="J126" s="91">
        <v>0.1210778834882643</v>
      </c>
      <c r="K126" s="91">
        <v>3.8928113840198453E-2</v>
      </c>
      <c r="L126" s="93">
        <f t="shared" si="7"/>
        <v>1</v>
      </c>
    </row>
    <row r="127" spans="2:12">
      <c r="B127" s="245"/>
      <c r="C127" s="87" t="s">
        <v>117</v>
      </c>
      <c r="D127" s="91">
        <v>0.34801032907369389</v>
      </c>
      <c r="E127" s="91">
        <v>0.16433821095146661</v>
      </c>
      <c r="F127" s="91">
        <v>8.6406674170694558E-2</v>
      </c>
      <c r="G127" s="91">
        <v>3.019267695159902E-2</v>
      </c>
      <c r="H127" s="92">
        <f t="shared" si="6"/>
        <v>0.62894789114745409</v>
      </c>
      <c r="I127" s="91">
        <v>3.5754485863735683E-2</v>
      </c>
      <c r="J127" s="91">
        <v>0.23922399523273519</v>
      </c>
      <c r="K127" s="91">
        <v>9.6073627756074947E-2</v>
      </c>
      <c r="L127" s="93">
        <f t="shared" si="7"/>
        <v>0.99999999999999989</v>
      </c>
    </row>
    <row r="128" spans="2:12">
      <c r="B128" s="245"/>
      <c r="C128" s="87" t="s">
        <v>118</v>
      </c>
      <c r="D128" s="91">
        <v>0.42262481431247167</v>
      </c>
      <c r="E128" s="91">
        <v>0.18947663028267561</v>
      </c>
      <c r="F128" s="91">
        <v>0.1021981097547848</v>
      </c>
      <c r="G128" s="91">
        <v>2.8332149238950249E-2</v>
      </c>
      <c r="H128" s="92">
        <f t="shared" si="6"/>
        <v>0.74263170358888231</v>
      </c>
      <c r="I128" s="91">
        <v>2.9882236431354819E-2</v>
      </c>
      <c r="J128" s="91">
        <v>0.15626816508428601</v>
      </c>
      <c r="K128" s="91">
        <v>7.1217894895476766E-2</v>
      </c>
      <c r="L128" s="93">
        <f t="shared" si="7"/>
        <v>0.99999999999999989</v>
      </c>
    </row>
    <row r="129" spans="2:12">
      <c r="B129" s="250"/>
      <c r="C129" s="94" t="s">
        <v>99</v>
      </c>
      <c r="D129" s="95">
        <v>0.42891296669463719</v>
      </c>
      <c r="E129" s="95">
        <v>0.16930753510099</v>
      </c>
      <c r="F129" s="95">
        <v>0.1032990949385567</v>
      </c>
      <c r="G129" s="95">
        <v>2.1623067327343141E-2</v>
      </c>
      <c r="H129" s="96">
        <f t="shared" si="6"/>
        <v>0.72314266406152705</v>
      </c>
      <c r="I129" s="95">
        <v>5.4277145207951787E-2</v>
      </c>
      <c r="J129" s="95">
        <v>0.13915038964804069</v>
      </c>
      <c r="K129" s="95">
        <v>8.3429801082480423E-2</v>
      </c>
      <c r="L129" s="97">
        <f t="shared" si="7"/>
        <v>1</v>
      </c>
    </row>
    <row r="130" spans="2:12">
      <c r="B130" s="249" t="s">
        <v>19</v>
      </c>
      <c r="C130" s="87" t="s">
        <v>110</v>
      </c>
      <c r="D130" s="91">
        <v>0.60915332601784344</v>
      </c>
      <c r="E130" s="91">
        <v>0.11408043858241421</v>
      </c>
      <c r="F130" s="91">
        <v>4.5183270370964729E-2</v>
      </c>
      <c r="G130" s="91">
        <v>1.359510064581607E-2</v>
      </c>
      <c r="H130" s="92">
        <f t="shared" si="6"/>
        <v>0.78201213561703842</v>
      </c>
      <c r="I130" s="91">
        <v>7.8085625929797314E-2</v>
      </c>
      <c r="J130" s="91">
        <v>4.3955829476797902E-2</v>
      </c>
      <c r="K130" s="91">
        <v>9.5946408976366346E-2</v>
      </c>
      <c r="L130" s="93">
        <f t="shared" si="7"/>
        <v>0.99999999999999989</v>
      </c>
    </row>
    <row r="131" spans="2:12">
      <c r="B131" s="245"/>
      <c r="C131" s="87" t="s">
        <v>111</v>
      </c>
      <c r="D131" s="91">
        <v>0.28261318999379781</v>
      </c>
      <c r="E131" s="91">
        <v>0.23624442541126439</v>
      </c>
      <c r="F131" s="91">
        <v>3.9930299181901413E-2</v>
      </c>
      <c r="G131" s="91">
        <v>8.1366844856611234E-2</v>
      </c>
      <c r="H131" s="92">
        <f t="shared" si="6"/>
        <v>0.64015475944357481</v>
      </c>
      <c r="I131" s="91">
        <v>0.15514338875926639</v>
      </c>
      <c r="J131" s="91">
        <v>9.1674296346613907E-2</v>
      </c>
      <c r="K131" s="91">
        <v>0.11302755545054489</v>
      </c>
      <c r="L131" s="93">
        <f t="shared" si="7"/>
        <v>1</v>
      </c>
    </row>
    <row r="132" spans="2:12">
      <c r="B132" s="245"/>
      <c r="C132" s="87" t="s">
        <v>112</v>
      </c>
      <c r="D132" s="91">
        <v>0.10396991904410439</v>
      </c>
      <c r="E132" s="91">
        <v>0.25164323614363998</v>
      </c>
      <c r="F132" s="91">
        <v>0.35325944824459948</v>
      </c>
      <c r="G132" s="91">
        <v>1.0344687305673891E-2</v>
      </c>
      <c r="H132" s="92">
        <f t="shared" si="6"/>
        <v>0.71921729073801766</v>
      </c>
      <c r="I132" s="91">
        <v>1.251242234219993E-2</v>
      </c>
      <c r="J132" s="91">
        <v>0.15757050950490789</v>
      </c>
      <c r="K132" s="91">
        <v>0.1106997774148743</v>
      </c>
      <c r="L132" s="93">
        <f t="shared" si="7"/>
        <v>0.99999999999999978</v>
      </c>
    </row>
    <row r="133" spans="2:12">
      <c r="B133" s="245"/>
      <c r="C133" s="87" t="s">
        <v>113</v>
      </c>
      <c r="D133" s="91">
        <v>0.44233034595195692</v>
      </c>
      <c r="E133" s="91">
        <v>0.13167095454845301</v>
      </c>
      <c r="F133" s="91">
        <v>5.5553984902886537E-2</v>
      </c>
      <c r="G133" s="91">
        <v>9.9610792268619297E-3</v>
      </c>
      <c r="H133" s="92">
        <f t="shared" si="6"/>
        <v>0.63951636463015837</v>
      </c>
      <c r="I133" s="91">
        <v>3.9768925579335233E-3</v>
      </c>
      <c r="J133" s="91">
        <v>0.27746835920198282</v>
      </c>
      <c r="K133" s="91">
        <v>7.9038383609925253E-2</v>
      </c>
      <c r="L133" s="93">
        <f t="shared" si="7"/>
        <v>0.99999999999999989</v>
      </c>
    </row>
    <row r="134" spans="2:12">
      <c r="B134" s="245"/>
      <c r="C134" s="87" t="s">
        <v>114</v>
      </c>
      <c r="D134" s="91">
        <v>0.36306240536448198</v>
      </c>
      <c r="E134" s="91">
        <v>0.18191650443435001</v>
      </c>
      <c r="F134" s="91">
        <v>8.6158879515466164E-2</v>
      </c>
      <c r="G134" s="91">
        <v>2.77687648712957E-2</v>
      </c>
      <c r="H134" s="92">
        <f t="shared" si="6"/>
        <v>0.65890655418559385</v>
      </c>
      <c r="I134" s="91">
        <v>2.267196625567813E-2</v>
      </c>
      <c r="J134" s="91">
        <v>0.2308295479126109</v>
      </c>
      <c r="K134" s="91">
        <v>8.7591931646117241E-2</v>
      </c>
      <c r="L134" s="93">
        <f t="shared" si="7"/>
        <v>1.0000000000000002</v>
      </c>
    </row>
    <row r="135" spans="2:12">
      <c r="B135" s="245"/>
      <c r="C135" s="87" t="s">
        <v>115</v>
      </c>
      <c r="D135" s="91">
        <v>0.22557695111936579</v>
      </c>
      <c r="E135" s="91">
        <v>0.300828108091514</v>
      </c>
      <c r="F135" s="91">
        <v>0.18169259461077389</v>
      </c>
      <c r="G135" s="91">
        <v>3.1382150011128422E-2</v>
      </c>
      <c r="H135" s="92">
        <f t="shared" si="6"/>
        <v>0.73947980383278211</v>
      </c>
      <c r="I135" s="91">
        <v>9.7930113509904302E-3</v>
      </c>
      <c r="J135" s="91">
        <v>0.20186190012049399</v>
      </c>
      <c r="K135" s="91">
        <v>4.8865284695733598E-2</v>
      </c>
      <c r="L135" s="93">
        <f t="shared" si="7"/>
        <v>1.0000000000000002</v>
      </c>
    </row>
    <row r="136" spans="2:12">
      <c r="B136" s="245"/>
      <c r="C136" s="87" t="s">
        <v>116</v>
      </c>
      <c r="D136" s="91">
        <v>0.51728761524306222</v>
      </c>
      <c r="E136" s="91">
        <v>0.2005206166023987</v>
      </c>
      <c r="F136" s="91">
        <v>0.1085573464273495</v>
      </c>
      <c r="G136" s="91">
        <v>3.1320220822814653E-2</v>
      </c>
      <c r="H136" s="92">
        <f t="shared" si="6"/>
        <v>0.85768579909562503</v>
      </c>
      <c r="I136" s="91">
        <v>1.6552463912854511E-2</v>
      </c>
      <c r="J136" s="91">
        <v>9.8773823064332661E-2</v>
      </c>
      <c r="K136" s="91">
        <v>2.6987913927187648E-2</v>
      </c>
      <c r="L136" s="93">
        <f t="shared" si="7"/>
        <v>0.99999999999999989</v>
      </c>
    </row>
    <row r="137" spans="2:12">
      <c r="B137" s="245"/>
      <c r="C137" s="87" t="s">
        <v>117</v>
      </c>
      <c r="D137" s="91">
        <v>0.37608699998000922</v>
      </c>
      <c r="E137" s="91">
        <v>0.18621434140295459</v>
      </c>
      <c r="F137" s="91">
        <v>9.2337524738620239E-2</v>
      </c>
      <c r="G137" s="91">
        <v>2.990624312816105E-2</v>
      </c>
      <c r="H137" s="92">
        <f t="shared" si="6"/>
        <v>0.6845451092497451</v>
      </c>
      <c r="I137" s="91">
        <v>2.2269755912280351E-2</v>
      </c>
      <c r="J137" s="91">
        <v>0.2109029846270716</v>
      </c>
      <c r="K137" s="91">
        <v>8.2282150210902974E-2</v>
      </c>
      <c r="L137" s="93">
        <f t="shared" si="7"/>
        <v>1</v>
      </c>
    </row>
    <row r="138" spans="2:12">
      <c r="B138" s="245"/>
      <c r="C138" s="87" t="s">
        <v>118</v>
      </c>
      <c r="D138" s="91">
        <v>0.44295181620026269</v>
      </c>
      <c r="E138" s="91">
        <v>0.1999241839622003</v>
      </c>
      <c r="F138" s="91">
        <v>0.1144720631439286</v>
      </c>
      <c r="G138" s="91">
        <v>3.5802769993095333E-2</v>
      </c>
      <c r="H138" s="92">
        <f t="shared" si="6"/>
        <v>0.79315083329948688</v>
      </c>
      <c r="I138" s="91">
        <v>1.9488783287979101E-2</v>
      </c>
      <c r="J138" s="91">
        <v>0.13144267089070311</v>
      </c>
      <c r="K138" s="91">
        <v>5.5917712521830948E-2</v>
      </c>
      <c r="L138" s="93">
        <f t="shared" si="7"/>
        <v>1</v>
      </c>
    </row>
    <row r="139" spans="2:12">
      <c r="B139" s="250"/>
      <c r="C139" s="94" t="s">
        <v>99</v>
      </c>
      <c r="D139" s="95">
        <v>0.43731000497016281</v>
      </c>
      <c r="E139" s="95">
        <v>0.1833964078392136</v>
      </c>
      <c r="F139" s="95">
        <v>0.1174862021134562</v>
      </c>
      <c r="G139" s="95">
        <v>2.3942541020085299E-2</v>
      </c>
      <c r="H139" s="96">
        <f t="shared" si="6"/>
        <v>0.76213515594291792</v>
      </c>
      <c r="I139" s="95">
        <v>3.7188512102183949E-2</v>
      </c>
      <c r="J139" s="95">
        <v>0.1260751631545266</v>
      </c>
      <c r="K139" s="95">
        <v>7.4601168800371626E-2</v>
      </c>
      <c r="L139" s="97">
        <f t="shared" si="7"/>
        <v>1.0000000000000002</v>
      </c>
    </row>
    <row r="140" spans="2:12">
      <c r="B140" s="244" t="s">
        <v>20</v>
      </c>
      <c r="C140" s="87" t="s">
        <v>110</v>
      </c>
      <c r="D140" s="91">
        <v>0.55862382658084297</v>
      </c>
      <c r="E140" s="91">
        <v>0.1097186187992447</v>
      </c>
      <c r="F140" s="91">
        <v>4.4982688607397972E-2</v>
      </c>
      <c r="G140" s="91">
        <v>1.493837024535196E-2</v>
      </c>
      <c r="H140" s="92">
        <f t="shared" si="6"/>
        <v>0.72826350423283759</v>
      </c>
      <c r="I140" s="91">
        <v>0.1222271099101364</v>
      </c>
      <c r="J140" s="91">
        <v>5.2344145098496893E-2</v>
      </c>
      <c r="K140" s="91">
        <v>9.7165240758529267E-2</v>
      </c>
      <c r="L140" s="93">
        <f t="shared" si="7"/>
        <v>1.0000000000000002</v>
      </c>
    </row>
    <row r="141" spans="2:12">
      <c r="B141" s="245"/>
      <c r="C141" s="87" t="s">
        <v>111</v>
      </c>
      <c r="D141" s="91">
        <v>0.23572058391300091</v>
      </c>
      <c r="E141" s="91">
        <v>0.2140034616766272</v>
      </c>
      <c r="F141" s="91">
        <v>3.562914339832142E-2</v>
      </c>
      <c r="G141" s="91">
        <v>6.7045491656053044E-2</v>
      </c>
      <c r="H141" s="92">
        <f t="shared" si="6"/>
        <v>0.55239868064400255</v>
      </c>
      <c r="I141" s="91">
        <v>0.1809215897586624</v>
      </c>
      <c r="J141" s="91">
        <v>0.14339832141340911</v>
      </c>
      <c r="K141" s="91">
        <v>0.12328140818392611</v>
      </c>
      <c r="L141" s="93">
        <f t="shared" si="7"/>
        <v>1.0000000000000002</v>
      </c>
    </row>
    <row r="142" spans="2:12">
      <c r="B142" s="245"/>
      <c r="C142" s="87" t="s">
        <v>112</v>
      </c>
      <c r="D142" s="91">
        <v>9.5194901669468673E-2</v>
      </c>
      <c r="E142" s="91">
        <v>0.2296047229933143</v>
      </c>
      <c r="F142" s="91">
        <v>0.31308597568127622</v>
      </c>
      <c r="G142" s="91">
        <v>7.8820815576494518E-3</v>
      </c>
      <c r="H142" s="92">
        <f t="shared" si="6"/>
        <v>0.64576768190170863</v>
      </c>
      <c r="I142" s="91">
        <v>2.0932869374828949E-2</v>
      </c>
      <c r="J142" s="91">
        <v>0.20715486569965211</v>
      </c>
      <c r="K142" s="91">
        <v>0.12614458302381051</v>
      </c>
      <c r="L142" s="93">
        <f t="shared" si="7"/>
        <v>1.0000000000000002</v>
      </c>
    </row>
    <row r="143" spans="2:12">
      <c r="B143" s="245"/>
      <c r="C143" s="87" t="s">
        <v>113</v>
      </c>
      <c r="D143" s="91">
        <v>0.41084842983252418</v>
      </c>
      <c r="E143" s="91">
        <v>0.1169567562589625</v>
      </c>
      <c r="F143" s="91">
        <v>5.261080633066266E-2</v>
      </c>
      <c r="G143" s="91">
        <v>1.2248227230269301E-2</v>
      </c>
      <c r="H143" s="92">
        <f t="shared" si="6"/>
        <v>0.59266421965241856</v>
      </c>
      <c r="I143" s="91">
        <v>7.1173909039481129E-3</v>
      </c>
      <c r="J143" s="91">
        <v>0.32176921761324018</v>
      </c>
      <c r="K143" s="91">
        <v>7.8449171830392961E-2</v>
      </c>
      <c r="L143" s="93">
        <f t="shared" si="7"/>
        <v>0.99999999999999978</v>
      </c>
    </row>
    <row r="144" spans="2:12">
      <c r="B144" s="245"/>
      <c r="C144" s="87" t="s">
        <v>114</v>
      </c>
      <c r="D144" s="91">
        <v>0.32502005260310768</v>
      </c>
      <c r="E144" s="91">
        <v>0.17618310358335351</v>
      </c>
      <c r="F144" s="91">
        <v>7.7636217799250118E-2</v>
      </c>
      <c r="G144" s="91">
        <v>3.2606465332313601E-2</v>
      </c>
      <c r="H144" s="92">
        <f t="shared" si="6"/>
        <v>0.61144583931802488</v>
      </c>
      <c r="I144" s="91">
        <v>3.5404502975246693E-2</v>
      </c>
      <c r="J144" s="91">
        <v>0.26219478072711672</v>
      </c>
      <c r="K144" s="91">
        <v>9.0954876979611632E-2</v>
      </c>
      <c r="L144" s="93">
        <f t="shared" si="7"/>
        <v>0.99999999999999978</v>
      </c>
    </row>
    <row r="145" spans="2:12">
      <c r="B145" s="245"/>
      <c r="C145" s="87" t="s">
        <v>115</v>
      </c>
      <c r="D145" s="91">
        <v>0.21185623352407901</v>
      </c>
      <c r="E145" s="91">
        <v>0.28583981654128898</v>
      </c>
      <c r="F145" s="91">
        <v>0.17052444330139949</v>
      </c>
      <c r="G145" s="91">
        <v>3.4162755309800903E-2</v>
      </c>
      <c r="H145" s="92">
        <f t="shared" si="6"/>
        <v>0.70238324867656843</v>
      </c>
      <c r="I145" s="91">
        <v>1.2516341970466581E-2</v>
      </c>
      <c r="J145" s="91">
        <v>0.23188452388606701</v>
      </c>
      <c r="K145" s="91">
        <v>5.3215885466898143E-2</v>
      </c>
      <c r="L145" s="93">
        <f t="shared" si="7"/>
        <v>1</v>
      </c>
    </row>
    <row r="146" spans="2:12">
      <c r="B146" s="245"/>
      <c r="C146" s="87" t="s">
        <v>116</v>
      </c>
      <c r="D146" s="91">
        <v>0.47421625321001842</v>
      </c>
      <c r="E146" s="91">
        <v>0.19128884200744661</v>
      </c>
      <c r="F146" s="91">
        <v>0.1048051385409407</v>
      </c>
      <c r="G146" s="91">
        <v>4.2482121217829183E-2</v>
      </c>
      <c r="H146" s="92">
        <f t="shared" si="6"/>
        <v>0.81279235497623503</v>
      </c>
      <c r="I146" s="91">
        <v>3.3760917201931348E-2</v>
      </c>
      <c r="J146" s="91">
        <v>0.1209415635379583</v>
      </c>
      <c r="K146" s="91">
        <v>3.2505164283875509E-2</v>
      </c>
      <c r="L146" s="93">
        <f t="shared" si="7"/>
        <v>1</v>
      </c>
    </row>
    <row r="147" spans="2:12">
      <c r="B147" s="245"/>
      <c r="C147" s="87" t="s">
        <v>117</v>
      </c>
      <c r="D147" s="91">
        <v>0.32821315006667351</v>
      </c>
      <c r="E147" s="91">
        <v>0.17165863165452869</v>
      </c>
      <c r="F147" s="91">
        <v>8.4188121858652168E-2</v>
      </c>
      <c r="G147" s="91">
        <v>3.4618935275412863E-2</v>
      </c>
      <c r="H147" s="92">
        <f t="shared" si="6"/>
        <v>0.6186788388552672</v>
      </c>
      <c r="I147" s="91">
        <v>3.8055185147194581E-2</v>
      </c>
      <c r="J147" s="91">
        <v>0.25707764898963997</v>
      </c>
      <c r="K147" s="91">
        <v>8.6188327007898233E-2</v>
      </c>
      <c r="L147" s="93">
        <f t="shared" si="7"/>
        <v>1</v>
      </c>
    </row>
    <row r="148" spans="2:12">
      <c r="B148" s="245"/>
      <c r="C148" s="87" t="s">
        <v>118</v>
      </c>
      <c r="D148" s="91">
        <v>0.3953299768420856</v>
      </c>
      <c r="E148" s="91">
        <v>0.19043399994374599</v>
      </c>
      <c r="F148" s="91">
        <v>0.1088515737068602</v>
      </c>
      <c r="G148" s="91">
        <v>4.4951668401166343E-2</v>
      </c>
      <c r="H148" s="92">
        <f t="shared" si="6"/>
        <v>0.73956721889385812</v>
      </c>
      <c r="I148" s="91">
        <v>3.2847673426527543E-2</v>
      </c>
      <c r="J148" s="91">
        <v>0.16421492794794629</v>
      </c>
      <c r="K148" s="91">
        <v>6.3370179731668211E-2</v>
      </c>
      <c r="L148" s="93">
        <f t="shared" si="7"/>
        <v>1</v>
      </c>
    </row>
    <row r="149" spans="2:12">
      <c r="B149" s="245"/>
      <c r="C149" s="94" t="s">
        <v>99</v>
      </c>
      <c r="D149" s="95">
        <v>0.39669073224047591</v>
      </c>
      <c r="E149" s="95">
        <v>0.17332624791740231</v>
      </c>
      <c r="F149" s="95">
        <v>0.1095025008915914</v>
      </c>
      <c r="G149" s="95">
        <v>2.8056295344739791E-2</v>
      </c>
      <c r="H149" s="96">
        <f t="shared" si="6"/>
        <v>0.70757577639420943</v>
      </c>
      <c r="I149" s="95">
        <v>5.9028671094164473E-2</v>
      </c>
      <c r="J149" s="95">
        <v>0.15334040692052331</v>
      </c>
      <c r="K149" s="95">
        <v>8.0055145591102897E-2</v>
      </c>
      <c r="L149" s="97">
        <f t="shared" si="7"/>
        <v>1</v>
      </c>
    </row>
    <row r="150" spans="2:12">
      <c r="B150" s="244" t="s">
        <v>21</v>
      </c>
      <c r="C150" s="87" t="s">
        <v>110</v>
      </c>
      <c r="D150" s="91">
        <v>0.62553976108677156</v>
      </c>
      <c r="E150" s="91">
        <v>0.1145186539330329</v>
      </c>
      <c r="F150" s="91">
        <v>4.5019489183765672E-2</v>
      </c>
      <c r="G150" s="91">
        <v>1.1483384288881191E-2</v>
      </c>
      <c r="H150" s="92">
        <f t="shared" si="6"/>
        <v>0.79656128849245122</v>
      </c>
      <c r="I150" s="91">
        <v>7.5162059654763039E-2</v>
      </c>
      <c r="J150" s="91">
        <v>4.1794055536294013E-2</v>
      </c>
      <c r="K150" s="91">
        <v>8.6482596316491744E-2</v>
      </c>
      <c r="L150" s="93">
        <f t="shared" si="7"/>
        <v>1</v>
      </c>
    </row>
    <row r="151" spans="2:12">
      <c r="B151" s="245"/>
      <c r="C151" s="87" t="s">
        <v>111</v>
      </c>
      <c r="D151" s="91">
        <v>0.33685564642102361</v>
      </c>
      <c r="E151" s="91">
        <v>0.27878342368832121</v>
      </c>
      <c r="F151" s="91">
        <v>4.8699807038500409E-2</v>
      </c>
      <c r="G151" s="91">
        <v>8.0492511256087459E-2</v>
      </c>
      <c r="H151" s="92">
        <f t="shared" si="6"/>
        <v>0.7448313884039327</v>
      </c>
      <c r="I151" s="91">
        <v>0.1157768997519066</v>
      </c>
      <c r="J151" s="91">
        <v>3.1608931360838012E-2</v>
      </c>
      <c r="K151" s="91">
        <v>0.1077827804833226</v>
      </c>
      <c r="L151" s="93">
        <f t="shared" si="7"/>
        <v>0.99999999999999989</v>
      </c>
    </row>
    <row r="152" spans="2:12">
      <c r="B152" s="245"/>
      <c r="C152" s="87" t="s">
        <v>112</v>
      </c>
      <c r="D152" s="91">
        <v>0.11194392147111409</v>
      </c>
      <c r="E152" s="91">
        <v>0.2164991178525334</v>
      </c>
      <c r="F152" s="91">
        <v>0.2953477081927226</v>
      </c>
      <c r="G152" s="91">
        <v>6.9387706771813912E-3</v>
      </c>
      <c r="H152" s="92">
        <f t="shared" si="6"/>
        <v>0.6307295181935515</v>
      </c>
      <c r="I152" s="91">
        <v>9.6621789634471246E-3</v>
      </c>
      <c r="J152" s="91">
        <v>0.2008217588481167</v>
      </c>
      <c r="K152" s="91">
        <v>0.1587865439948847</v>
      </c>
      <c r="L152" s="93">
        <f t="shared" si="7"/>
        <v>1</v>
      </c>
    </row>
    <row r="153" spans="2:12">
      <c r="B153" s="245"/>
      <c r="C153" s="87" t="s">
        <v>113</v>
      </c>
      <c r="D153" s="91">
        <v>0.36014227318575143</v>
      </c>
      <c r="E153" s="91">
        <v>8.8124435950522911E-2</v>
      </c>
      <c r="F153" s="91">
        <v>4.2761586239847098E-2</v>
      </c>
      <c r="G153" s="91">
        <v>3.3073206986250457E-2</v>
      </c>
      <c r="H153" s="92">
        <f t="shared" si="6"/>
        <v>0.52410150236237185</v>
      </c>
      <c r="I153" s="91">
        <v>1.037851037851038E-2</v>
      </c>
      <c r="J153" s="91">
        <v>0.37938631416892282</v>
      </c>
      <c r="K153" s="91">
        <v>8.6133673090194832E-2</v>
      </c>
      <c r="L153" s="93">
        <f t="shared" si="7"/>
        <v>0.99999999999999989</v>
      </c>
    </row>
    <row r="154" spans="2:12">
      <c r="B154" s="245"/>
      <c r="C154" s="87" t="s">
        <v>114</v>
      </c>
      <c r="D154" s="91">
        <v>0.30529136362297932</v>
      </c>
      <c r="E154" s="91">
        <v>0.1561791466682371</v>
      </c>
      <c r="F154" s="91">
        <v>7.6970642796148528E-2</v>
      </c>
      <c r="G154" s="91">
        <v>5.5004269603368558E-2</v>
      </c>
      <c r="H154" s="92">
        <f t="shared" si="6"/>
        <v>0.59344542269073353</v>
      </c>
      <c r="I154" s="91">
        <v>2.8709401961072991E-2</v>
      </c>
      <c r="J154" s="91">
        <v>0.2448985601130709</v>
      </c>
      <c r="K154" s="91">
        <v>0.13294661523512261</v>
      </c>
      <c r="L154" s="93">
        <f t="shared" si="7"/>
        <v>1</v>
      </c>
    </row>
    <row r="155" spans="2:12">
      <c r="B155" s="245"/>
      <c r="C155" s="87" t="s">
        <v>115</v>
      </c>
      <c r="D155" s="91">
        <v>0.18825370964908081</v>
      </c>
      <c r="E155" s="91">
        <v>0.24569137636366539</v>
      </c>
      <c r="F155" s="91">
        <v>0.14792275624131479</v>
      </c>
      <c r="G155" s="91">
        <v>5.6271662913092782E-2</v>
      </c>
      <c r="H155" s="92">
        <f t="shared" si="6"/>
        <v>0.63813950516715379</v>
      </c>
      <c r="I155" s="91">
        <v>1.156420208602872E-2</v>
      </c>
      <c r="J155" s="91">
        <v>0.27048093663647832</v>
      </c>
      <c r="K155" s="91">
        <v>7.9815356110339089E-2</v>
      </c>
      <c r="L155" s="93">
        <f t="shared" si="7"/>
        <v>0.99999999999999989</v>
      </c>
    </row>
    <row r="156" spans="2:12">
      <c r="B156" s="245"/>
      <c r="C156" s="87" t="s">
        <v>116</v>
      </c>
      <c r="D156" s="91">
        <v>0.42966393603540898</v>
      </c>
      <c r="E156" s="91">
        <v>0.16841569845264229</v>
      </c>
      <c r="F156" s="91">
        <v>8.8477806928307548E-2</v>
      </c>
      <c r="G156" s="91">
        <v>9.4438792811122427E-2</v>
      </c>
      <c r="H156" s="92">
        <f t="shared" si="6"/>
        <v>0.78099623422748121</v>
      </c>
      <c r="I156" s="91">
        <v>1.5643126126608491E-2</v>
      </c>
      <c r="J156" s="91">
        <v>0.144411129553283</v>
      </c>
      <c r="K156" s="91">
        <v>5.8949510092627298E-2</v>
      </c>
      <c r="L156" s="93">
        <f t="shared" si="7"/>
        <v>0.99999999999999989</v>
      </c>
    </row>
    <row r="157" spans="2:12">
      <c r="B157" s="245"/>
      <c r="C157" s="87" t="s">
        <v>117</v>
      </c>
      <c r="D157" s="91">
        <v>0.31088167147676921</v>
      </c>
      <c r="E157" s="91">
        <v>0.15763586846063171</v>
      </c>
      <c r="F157" s="91">
        <v>7.4427868785821708E-2</v>
      </c>
      <c r="G157" s="91">
        <v>6.2395837567578549E-2</v>
      </c>
      <c r="H157" s="92">
        <f t="shared" si="6"/>
        <v>0.60534124629080122</v>
      </c>
      <c r="I157" s="91">
        <v>3.2356408276086338E-2</v>
      </c>
      <c r="J157" s="91">
        <v>0.23592536888744359</v>
      </c>
      <c r="K157" s="91">
        <v>0.1263769765456689</v>
      </c>
      <c r="L157" s="93">
        <f t="shared" si="7"/>
        <v>1</v>
      </c>
    </row>
    <row r="158" spans="2:12">
      <c r="B158" s="245"/>
      <c r="C158" s="87" t="s">
        <v>118</v>
      </c>
      <c r="D158" s="91">
        <v>0.359242971137756</v>
      </c>
      <c r="E158" s="91">
        <v>0.1711059480839176</v>
      </c>
      <c r="F158" s="91">
        <v>9.2014825263798422E-2</v>
      </c>
      <c r="G158" s="91">
        <v>8.5072397626851426E-2</v>
      </c>
      <c r="H158" s="92">
        <f t="shared" si="6"/>
        <v>0.70743614211232342</v>
      </c>
      <c r="I158" s="91">
        <v>2.0156550360259439E-2</v>
      </c>
      <c r="J158" s="91">
        <v>0.18148501569652459</v>
      </c>
      <c r="K158" s="91">
        <v>9.0922291830892413E-2</v>
      </c>
      <c r="L158" s="93">
        <f t="shared" si="7"/>
        <v>0.99999999999999989</v>
      </c>
    </row>
    <row r="159" spans="2:12">
      <c r="B159" s="245"/>
      <c r="C159" s="94" t="s">
        <v>99</v>
      </c>
      <c r="D159" s="95">
        <v>0.39312998327203552</v>
      </c>
      <c r="E159" s="95">
        <v>0.16345774014183831</v>
      </c>
      <c r="F159" s="95">
        <v>0.1035080238612363</v>
      </c>
      <c r="G159" s="95">
        <v>4.9493668900389462E-2</v>
      </c>
      <c r="H159" s="96">
        <f t="shared" si="6"/>
        <v>0.70958941617549953</v>
      </c>
      <c r="I159" s="95">
        <v>3.4137597134141738E-2</v>
      </c>
      <c r="J159" s="95">
        <v>0.1612002492794711</v>
      </c>
      <c r="K159" s="95">
        <v>9.5072737410887578E-2</v>
      </c>
      <c r="L159" s="97">
        <f t="shared" si="7"/>
        <v>1</v>
      </c>
    </row>
    <row r="160" spans="2:12">
      <c r="B160" s="244" t="s">
        <v>22</v>
      </c>
      <c r="C160" s="87" t="s">
        <v>110</v>
      </c>
      <c r="D160" s="91">
        <v>0.72101203987628271</v>
      </c>
      <c r="E160" s="91">
        <v>0.1170801640715224</v>
      </c>
      <c r="F160" s="91">
        <v>4.2398417692113687E-2</v>
      </c>
      <c r="G160" s="91">
        <v>7.2610940756375033E-3</v>
      </c>
      <c r="H160" s="92">
        <f t="shared" si="6"/>
        <v>0.88775171571555633</v>
      </c>
      <c r="I160" s="91">
        <v>2.365497192465453E-2</v>
      </c>
      <c r="J160" s="91">
        <v>2.4929313846521441E-2</v>
      </c>
      <c r="K160" s="91">
        <v>6.3663998513267761E-2</v>
      </c>
      <c r="L160" s="93">
        <f t="shared" si="7"/>
        <v>1</v>
      </c>
    </row>
    <row r="161" spans="2:12">
      <c r="B161" s="245"/>
      <c r="C161" s="87" t="s">
        <v>111</v>
      </c>
      <c r="D161" s="91">
        <v>0.33333333333333331</v>
      </c>
      <c r="E161" s="91">
        <v>0.41313831152168329</v>
      </c>
      <c r="F161" s="91">
        <v>7.2106748781113686E-2</v>
      </c>
      <c r="G161" s="91">
        <v>5.9276366435719777E-2</v>
      </c>
      <c r="H161" s="92">
        <f t="shared" si="6"/>
        <v>0.87785476007185004</v>
      </c>
      <c r="I161" s="91">
        <v>5.8249935848088283E-2</v>
      </c>
      <c r="J161" s="91">
        <v>2.6173979984603541E-2</v>
      </c>
      <c r="K161" s="91">
        <v>3.7721324095458038E-2</v>
      </c>
      <c r="L161" s="93">
        <f t="shared" si="7"/>
        <v>0.99999999999999989</v>
      </c>
    </row>
    <row r="162" spans="2:12">
      <c r="B162" s="245"/>
      <c r="C162" s="87" t="s">
        <v>112</v>
      </c>
      <c r="D162" s="91">
        <v>0.1232291081570243</v>
      </c>
      <c r="E162" s="91">
        <v>0.26081258191349932</v>
      </c>
      <c r="F162" s="91">
        <v>0.34525369780939902</v>
      </c>
      <c r="G162" s="91">
        <v>7.1771827997253951E-3</v>
      </c>
      <c r="H162" s="92">
        <f t="shared" si="6"/>
        <v>0.736472570679648</v>
      </c>
      <c r="I162" s="91">
        <v>3.8070273981152089E-3</v>
      </c>
      <c r="J162" s="91">
        <v>0.1399862697372527</v>
      </c>
      <c r="K162" s="91">
        <v>0.1197341321849841</v>
      </c>
      <c r="L162" s="93">
        <f t="shared" si="7"/>
        <v>1</v>
      </c>
    </row>
    <row r="163" spans="2:12">
      <c r="B163" s="245"/>
      <c r="C163" s="87" t="s">
        <v>113</v>
      </c>
      <c r="D163" s="91">
        <v>0.4947532326856679</v>
      </c>
      <c r="E163" s="91">
        <v>0.1029043395843206</v>
      </c>
      <c r="F163" s="91">
        <v>4.4411346557443651E-2</v>
      </c>
      <c r="G163" s="91">
        <v>7.0408232347166757E-3</v>
      </c>
      <c r="H163" s="92">
        <f t="shared" si="6"/>
        <v>0.64910974206214878</v>
      </c>
      <c r="I163" s="91">
        <v>2.031006702322118E-4</v>
      </c>
      <c r="J163" s="91">
        <v>0.29476677273035001</v>
      </c>
      <c r="K163" s="91">
        <v>5.5920384537268983E-2</v>
      </c>
      <c r="L163" s="93">
        <f t="shared" si="7"/>
        <v>1</v>
      </c>
    </row>
    <row r="164" spans="2:12">
      <c r="B164" s="245"/>
      <c r="C164" s="87" t="s">
        <v>114</v>
      </c>
      <c r="D164" s="91">
        <v>0.38623647892577401</v>
      </c>
      <c r="E164" s="91">
        <v>0.17549421857515851</v>
      </c>
      <c r="F164" s="91">
        <v>7.6184259604625132E-2</v>
      </c>
      <c r="G164" s="91">
        <v>2.331219694143976E-2</v>
      </c>
      <c r="H164" s="92">
        <f t="shared" si="6"/>
        <v>0.66122715404699739</v>
      </c>
      <c r="I164" s="91">
        <v>3.8232002983961209E-3</v>
      </c>
      <c r="J164" s="91">
        <v>0.24281984334203649</v>
      </c>
      <c r="K164" s="91">
        <v>9.2129802312569925E-2</v>
      </c>
      <c r="L164" s="93">
        <f t="shared" si="7"/>
        <v>0.99999999999999989</v>
      </c>
    </row>
    <row r="165" spans="2:12">
      <c r="B165" s="245"/>
      <c r="C165" s="87" t="s">
        <v>115</v>
      </c>
      <c r="D165" s="91">
        <v>0.2332150592138611</v>
      </c>
      <c r="E165" s="91">
        <v>0.29500944656928252</v>
      </c>
      <c r="F165" s="91">
        <v>0.16948527717616699</v>
      </c>
      <c r="G165" s="91">
        <v>2.5160130869545182E-2</v>
      </c>
      <c r="H165" s="92">
        <f t="shared" si="6"/>
        <v>0.72286991382885579</v>
      </c>
      <c r="I165" s="91">
        <v>2.488364591493479E-3</v>
      </c>
      <c r="J165" s="91">
        <v>0.21980553891525731</v>
      </c>
      <c r="K165" s="91">
        <v>5.4836182664393343E-2</v>
      </c>
      <c r="L165" s="93">
        <f t="shared" si="7"/>
        <v>1</v>
      </c>
    </row>
    <row r="166" spans="2:12">
      <c r="B166" s="245"/>
      <c r="C166" s="87" t="s">
        <v>116</v>
      </c>
      <c r="D166" s="91">
        <v>0.5263143137529791</v>
      </c>
      <c r="E166" s="91">
        <v>0.20333660451422961</v>
      </c>
      <c r="F166" s="91">
        <v>0.1036029721015001</v>
      </c>
      <c r="G166" s="91">
        <v>2.859946726482546E-2</v>
      </c>
      <c r="H166" s="92">
        <f t="shared" si="6"/>
        <v>0.86185335763353421</v>
      </c>
      <c r="I166" s="91">
        <v>2.6075984859105562E-3</v>
      </c>
      <c r="J166" s="91">
        <v>0.1028459273797841</v>
      </c>
      <c r="K166" s="91">
        <v>3.2693116500771058E-2</v>
      </c>
      <c r="L166" s="93">
        <f t="shared" si="7"/>
        <v>1</v>
      </c>
    </row>
    <row r="167" spans="2:12">
      <c r="B167" s="245"/>
      <c r="C167" s="87" t="s">
        <v>117</v>
      </c>
      <c r="D167" s="91">
        <v>0.39017377172146522</v>
      </c>
      <c r="E167" s="91">
        <v>0.1910238779847481</v>
      </c>
      <c r="F167" s="91">
        <v>8.9011126390798848E-2</v>
      </c>
      <c r="G167" s="91">
        <v>2.750343792974122E-2</v>
      </c>
      <c r="H167" s="92">
        <f t="shared" si="6"/>
        <v>0.69771221402675343</v>
      </c>
      <c r="I167" s="91">
        <v>4.0005000625078129E-3</v>
      </c>
      <c r="J167" s="91">
        <v>0.21040130016252029</v>
      </c>
      <c r="K167" s="91">
        <v>8.7885985748218529E-2</v>
      </c>
      <c r="L167" s="93">
        <f t="shared" si="7"/>
        <v>1.0000000000000002</v>
      </c>
    </row>
    <row r="168" spans="2:12">
      <c r="B168" s="245"/>
      <c r="C168" s="87" t="s">
        <v>118</v>
      </c>
      <c r="D168" s="91">
        <v>0.42872171411395937</v>
      </c>
      <c r="E168" s="91">
        <v>0.2100991884580703</v>
      </c>
      <c r="F168" s="91">
        <v>0.1082270599854008</v>
      </c>
      <c r="G168" s="91">
        <v>3.3835716432650612E-2</v>
      </c>
      <c r="H168" s="92">
        <f t="shared" si="6"/>
        <v>0.78088367899008115</v>
      </c>
      <c r="I168" s="91">
        <v>2.6622010391171799E-3</v>
      </c>
      <c r="J168" s="91">
        <v>0.15275451930095749</v>
      </c>
      <c r="K168" s="91">
        <v>6.3699600669844134E-2</v>
      </c>
      <c r="L168" s="93">
        <f t="shared" si="7"/>
        <v>1</v>
      </c>
    </row>
    <row r="169" spans="2:12">
      <c r="B169" s="245"/>
      <c r="C169" s="94" t="s">
        <v>99</v>
      </c>
      <c r="D169" s="95">
        <v>0.47418319837242773</v>
      </c>
      <c r="E169" s="95">
        <v>0.18960734015777159</v>
      </c>
      <c r="F169" s="95">
        <v>0.1171546434860925</v>
      </c>
      <c r="G169" s="95">
        <v>1.8993703611376919E-2</v>
      </c>
      <c r="H169" s="96">
        <f t="shared" si="6"/>
        <v>0.79993888562766868</v>
      </c>
      <c r="I169" s="95">
        <v>9.9632509629534322E-3</v>
      </c>
      <c r="J169" s="95">
        <v>0.1232741220840001</v>
      </c>
      <c r="K169" s="95">
        <v>6.6823741325377731E-2</v>
      </c>
      <c r="L169" s="97">
        <f t="shared" si="7"/>
        <v>1</v>
      </c>
    </row>
    <row r="170" spans="2:12">
      <c r="B170" s="244" t="s">
        <v>23</v>
      </c>
      <c r="C170" s="87" t="s">
        <v>110</v>
      </c>
      <c r="D170" s="91">
        <v>0.72728347853510467</v>
      </c>
      <c r="E170" s="91">
        <v>0.1063586549454015</v>
      </c>
      <c r="F170" s="91">
        <v>3.3823471439271488E-2</v>
      </c>
      <c r="G170" s="91">
        <v>7.4900461229155989E-3</v>
      </c>
      <c r="H170" s="92">
        <f t="shared" si="6"/>
        <v>0.87495565104269324</v>
      </c>
      <c r="I170" s="91">
        <v>1.53348839042851E-2</v>
      </c>
      <c r="J170" s="91">
        <v>3.965782315606891E-2</v>
      </c>
      <c r="K170" s="91">
        <v>7.0051641896952732E-2</v>
      </c>
      <c r="L170" s="93">
        <f t="shared" si="7"/>
        <v>1</v>
      </c>
    </row>
    <row r="171" spans="2:12">
      <c r="B171" s="245"/>
      <c r="C171" s="87" t="s">
        <v>111</v>
      </c>
      <c r="D171" s="91">
        <v>0.38467807660961689</v>
      </c>
      <c r="E171" s="91">
        <v>0.4050529747351263</v>
      </c>
      <c r="F171" s="91">
        <v>7.5794621026894854E-2</v>
      </c>
      <c r="G171" s="91">
        <v>6.5199674001629987E-2</v>
      </c>
      <c r="H171" s="92">
        <f t="shared" si="6"/>
        <v>0.93072534637326798</v>
      </c>
      <c r="I171" s="91">
        <v>5.7049714751426254E-3</v>
      </c>
      <c r="J171" s="91">
        <v>2.4449877750611249E-2</v>
      </c>
      <c r="K171" s="91">
        <v>3.9119804400977988E-2</v>
      </c>
      <c r="L171" s="93">
        <f t="shared" si="7"/>
        <v>0.99999999999999978</v>
      </c>
    </row>
    <row r="172" spans="2:12">
      <c r="B172" s="245"/>
      <c r="C172" s="87" t="s">
        <v>112</v>
      </c>
      <c r="D172" s="91">
        <v>0.1262280810844422</v>
      </c>
      <c r="E172" s="91">
        <v>0.24984454669817191</v>
      </c>
      <c r="F172" s="91">
        <v>0.33179952742196239</v>
      </c>
      <c r="G172" s="91">
        <v>1.144136301455043E-2</v>
      </c>
      <c r="H172" s="92">
        <f t="shared" si="6"/>
        <v>0.71931351821912692</v>
      </c>
      <c r="I172" s="91">
        <v>5.3475935828877002E-3</v>
      </c>
      <c r="J172" s="91">
        <v>0.15085188409401809</v>
      </c>
      <c r="K172" s="91">
        <v>0.12448700410396719</v>
      </c>
      <c r="L172" s="93">
        <f t="shared" si="7"/>
        <v>0.99999999999999989</v>
      </c>
    </row>
    <row r="173" spans="2:12">
      <c r="B173" s="245"/>
      <c r="C173" s="87" t="s">
        <v>113</v>
      </c>
      <c r="D173" s="91">
        <v>0.52225783475783472</v>
      </c>
      <c r="E173" s="91">
        <v>0.1103988603988604</v>
      </c>
      <c r="F173" s="91">
        <v>5.252849002849002E-2</v>
      </c>
      <c r="G173" s="91">
        <v>8.190883190883189E-3</v>
      </c>
      <c r="H173" s="92">
        <f t="shared" si="6"/>
        <v>0.69337606837606836</v>
      </c>
      <c r="I173" s="91">
        <v>1.7806267806267799E-4</v>
      </c>
      <c r="J173" s="91">
        <v>0.25569800569800571</v>
      </c>
      <c r="K173" s="91">
        <v>5.0747863247863241E-2</v>
      </c>
      <c r="L173" s="93">
        <f t="shared" si="7"/>
        <v>1</v>
      </c>
    </row>
    <row r="174" spans="2:12">
      <c r="B174" s="245"/>
      <c r="C174" s="87" t="s">
        <v>114</v>
      </c>
      <c r="D174" s="91">
        <v>0.35822249093107622</v>
      </c>
      <c r="E174" s="91">
        <v>0.1711003627569529</v>
      </c>
      <c r="F174" s="91">
        <v>6.0761789600967363E-2</v>
      </c>
      <c r="G174" s="91">
        <v>1.934703748488513E-2</v>
      </c>
      <c r="H174" s="92">
        <f t="shared" si="6"/>
        <v>0.60943168077388155</v>
      </c>
      <c r="I174" s="91">
        <v>6.6505441354292637E-3</v>
      </c>
      <c r="J174" s="91">
        <v>0.29232164449818632</v>
      </c>
      <c r="K174" s="91">
        <v>9.1596130592503031E-2</v>
      </c>
      <c r="L174" s="93">
        <f t="shared" si="7"/>
        <v>1.0000000000000002</v>
      </c>
    </row>
    <row r="175" spans="2:12">
      <c r="B175" s="245"/>
      <c r="C175" s="87" t="s">
        <v>115</v>
      </c>
      <c r="D175" s="91">
        <v>0.22276072518398851</v>
      </c>
      <c r="E175" s="91">
        <v>0.26189194040567232</v>
      </c>
      <c r="F175" s="91">
        <v>0.16621791419852811</v>
      </c>
      <c r="G175" s="91">
        <v>2.8181654999102499E-2</v>
      </c>
      <c r="H175" s="92">
        <f t="shared" ref="H175:H199" si="8">SUM(D175:G175)</f>
        <v>0.67905223478729138</v>
      </c>
      <c r="I175" s="91">
        <v>3.2310177705977381E-3</v>
      </c>
      <c r="J175" s="91">
        <v>0.26404595225273741</v>
      </c>
      <c r="K175" s="91">
        <v>5.3670795189373538E-2</v>
      </c>
      <c r="L175" s="93">
        <f t="shared" ref="L175:L199" si="9">SUM(H175:K175)</f>
        <v>1</v>
      </c>
    </row>
    <row r="176" spans="2:12">
      <c r="B176" s="245"/>
      <c r="C176" s="87" t="s">
        <v>116</v>
      </c>
      <c r="D176" s="91">
        <v>0.51618497109826589</v>
      </c>
      <c r="E176" s="91">
        <v>0.20009633911368019</v>
      </c>
      <c r="F176" s="91">
        <v>9.0173410404624274E-2</v>
      </c>
      <c r="G176" s="91">
        <v>2.7552986512524091E-2</v>
      </c>
      <c r="H176" s="92">
        <f t="shared" si="8"/>
        <v>0.83400770712909444</v>
      </c>
      <c r="I176" s="91">
        <v>3.2755298651252411E-3</v>
      </c>
      <c r="J176" s="91">
        <v>0.13025048169556841</v>
      </c>
      <c r="K176" s="91">
        <v>3.2466281310211953E-2</v>
      </c>
      <c r="L176" s="93">
        <f t="shared" si="9"/>
        <v>1</v>
      </c>
    </row>
    <row r="177" spans="2:12">
      <c r="B177" s="245"/>
      <c r="C177" s="87" t="s">
        <v>117</v>
      </c>
      <c r="D177" s="91">
        <v>0.37661758143685858</v>
      </c>
      <c r="E177" s="91">
        <v>0.1958946898705935</v>
      </c>
      <c r="F177" s="91">
        <v>7.2735385988398044E-2</v>
      </c>
      <c r="G177" s="91">
        <v>2.5881302989736722E-2</v>
      </c>
      <c r="H177" s="92">
        <f t="shared" si="8"/>
        <v>0.67112896028558677</v>
      </c>
      <c r="I177" s="91">
        <v>3.123605533244088E-3</v>
      </c>
      <c r="J177" s="91">
        <v>0.24631860776439091</v>
      </c>
      <c r="K177" s="91">
        <v>7.9428826416778231E-2</v>
      </c>
      <c r="L177" s="93">
        <f t="shared" si="9"/>
        <v>1</v>
      </c>
    </row>
    <row r="178" spans="2:12">
      <c r="B178" s="245"/>
      <c r="C178" s="87" t="s">
        <v>118</v>
      </c>
      <c r="D178" s="91">
        <v>0.43522975929978119</v>
      </c>
      <c r="E178" s="91">
        <v>0.19183078045222471</v>
      </c>
      <c r="F178" s="91">
        <v>9.0080233406272803E-2</v>
      </c>
      <c r="G178" s="91">
        <v>2.7571115973741799E-2</v>
      </c>
      <c r="H178" s="92">
        <f t="shared" si="8"/>
        <v>0.74471188913202058</v>
      </c>
      <c r="I178" s="91">
        <v>2.6987600291757839E-3</v>
      </c>
      <c r="J178" s="91">
        <v>0.19175784099197671</v>
      </c>
      <c r="K178" s="91">
        <v>6.0831509846827142E-2</v>
      </c>
      <c r="L178" s="93">
        <f t="shared" si="9"/>
        <v>1.0000000000000002</v>
      </c>
    </row>
    <row r="179" spans="2:12">
      <c r="B179" s="245"/>
      <c r="C179" s="94" t="s">
        <v>99</v>
      </c>
      <c r="D179" s="95">
        <v>0.49646837439206998</v>
      </c>
      <c r="E179" s="95">
        <v>0.17220816050675181</v>
      </c>
      <c r="F179" s="95">
        <v>9.7732603596559817E-2</v>
      </c>
      <c r="G179" s="95">
        <v>1.790328779104438E-2</v>
      </c>
      <c r="H179" s="96">
        <f t="shared" si="8"/>
        <v>0.78431242628642583</v>
      </c>
      <c r="I179" s="95">
        <v>7.3945481772041176E-3</v>
      </c>
      <c r="J179" s="95">
        <v>0.14121201680338191</v>
      </c>
      <c r="K179" s="95">
        <v>6.7081008732987904E-2</v>
      </c>
      <c r="L179" s="97">
        <f t="shared" si="9"/>
        <v>0.99999999999999978</v>
      </c>
    </row>
    <row r="180" spans="2:12">
      <c r="B180" s="244" t="s">
        <v>24</v>
      </c>
      <c r="C180" s="87" t="s">
        <v>110</v>
      </c>
      <c r="D180" s="91">
        <v>0.70527960299591042</v>
      </c>
      <c r="E180" s="91">
        <v>0.11737811882552961</v>
      </c>
      <c r="F180" s="91">
        <v>3.6380554151541608E-2</v>
      </c>
      <c r="G180" s="91">
        <v>8.5236410421357343E-3</v>
      </c>
      <c r="H180" s="92">
        <f t="shared" si="8"/>
        <v>0.86756191701511742</v>
      </c>
      <c r="I180" s="91">
        <v>2.4031613288609109E-2</v>
      </c>
      <c r="J180" s="91">
        <v>3.4496622708266318E-2</v>
      </c>
      <c r="K180" s="91">
        <v>7.3909846988007163E-2</v>
      </c>
      <c r="L180" s="93">
        <f t="shared" si="9"/>
        <v>1</v>
      </c>
    </row>
    <row r="181" spans="2:12">
      <c r="B181" s="245"/>
      <c r="C181" s="87" t="s">
        <v>111</v>
      </c>
      <c r="D181" s="91">
        <v>0.33792712856333768</v>
      </c>
      <c r="E181" s="91">
        <v>0.24938644515763639</v>
      </c>
      <c r="F181" s="91">
        <v>3.5869360015102887E-2</v>
      </c>
      <c r="G181" s="91">
        <v>0.1043987162544837</v>
      </c>
      <c r="H181" s="92">
        <f t="shared" si="8"/>
        <v>0.72758164999056063</v>
      </c>
      <c r="I181" s="91">
        <v>6.4753634132527854E-2</v>
      </c>
      <c r="J181" s="91">
        <v>0.1025108552010572</v>
      </c>
      <c r="K181" s="91">
        <v>0.10515386067585419</v>
      </c>
      <c r="L181" s="93">
        <f t="shared" si="9"/>
        <v>0.99999999999999989</v>
      </c>
    </row>
    <row r="182" spans="2:12">
      <c r="B182" s="245"/>
      <c r="C182" s="87" t="s">
        <v>112</v>
      </c>
      <c r="D182" s="91">
        <v>0.118406374501992</v>
      </c>
      <c r="E182" s="91">
        <v>0.2494342629482072</v>
      </c>
      <c r="F182" s="91">
        <v>0.34814342629482081</v>
      </c>
      <c r="G182" s="91">
        <v>8.1912350597609564E-3</v>
      </c>
      <c r="H182" s="92">
        <f t="shared" si="8"/>
        <v>0.72417529880478093</v>
      </c>
      <c r="I182" s="91">
        <v>4.334661354581674E-3</v>
      </c>
      <c r="J182" s="91">
        <v>0.14731474103585659</v>
      </c>
      <c r="K182" s="91">
        <v>0.1241752988047809</v>
      </c>
      <c r="L182" s="93">
        <f t="shared" si="9"/>
        <v>1.0000000000000002</v>
      </c>
    </row>
    <row r="183" spans="2:12">
      <c r="B183" s="245"/>
      <c r="C183" s="87" t="s">
        <v>113</v>
      </c>
      <c r="D183" s="91">
        <v>0.4805594243268338</v>
      </c>
      <c r="E183" s="91">
        <v>0.1050371402042711</v>
      </c>
      <c r="F183" s="91">
        <v>4.6773444753946153E-2</v>
      </c>
      <c r="G183" s="91">
        <v>6.0352831940575667E-3</v>
      </c>
      <c r="H183" s="92">
        <f t="shared" si="8"/>
        <v>0.6384052924791086</v>
      </c>
      <c r="I183" s="91">
        <v>9.2850510677808717E-4</v>
      </c>
      <c r="J183" s="91">
        <v>0.28893918291550602</v>
      </c>
      <c r="K183" s="91">
        <v>7.1727019498607228E-2</v>
      </c>
      <c r="L183" s="93">
        <f t="shared" si="9"/>
        <v>1</v>
      </c>
    </row>
    <row r="184" spans="2:12">
      <c r="B184" s="245"/>
      <c r="C184" s="87" t="s">
        <v>114</v>
      </c>
      <c r="D184" s="91">
        <v>0.37230161143204621</v>
      </c>
      <c r="E184" s="91">
        <v>0.17801763453937369</v>
      </c>
      <c r="F184" s="91">
        <v>7.3882639100030401E-2</v>
      </c>
      <c r="G184" s="91">
        <v>2.0142900577683191E-2</v>
      </c>
      <c r="H184" s="92">
        <f t="shared" si="8"/>
        <v>0.64434478564913356</v>
      </c>
      <c r="I184" s="91">
        <v>6.1568865916692E-3</v>
      </c>
      <c r="J184" s="91">
        <v>0.26489814533292788</v>
      </c>
      <c r="K184" s="91">
        <v>8.4600182426269377E-2</v>
      </c>
      <c r="L184" s="93">
        <f t="shared" si="9"/>
        <v>1</v>
      </c>
    </row>
    <row r="185" spans="2:12">
      <c r="B185" s="245"/>
      <c r="C185" s="87" t="s">
        <v>115</v>
      </c>
      <c r="D185" s="91">
        <v>0.2343621843298079</v>
      </c>
      <c r="E185" s="91">
        <v>0.29263975825598959</v>
      </c>
      <c r="F185" s="91">
        <v>0.16965249298510679</v>
      </c>
      <c r="G185" s="91">
        <v>2.6116986833585151E-2</v>
      </c>
      <c r="H185" s="92">
        <f t="shared" si="8"/>
        <v>0.72277142240448933</v>
      </c>
      <c r="I185" s="91">
        <v>4.2736887545866608E-3</v>
      </c>
      <c r="J185" s="91">
        <v>0.22279300669112889</v>
      </c>
      <c r="K185" s="91">
        <v>5.0161882149794952E-2</v>
      </c>
      <c r="L185" s="93">
        <f t="shared" si="9"/>
        <v>0.99999999999999989</v>
      </c>
    </row>
    <row r="186" spans="2:12">
      <c r="B186" s="245"/>
      <c r="C186" s="87" t="s">
        <v>116</v>
      </c>
      <c r="D186" s="91">
        <v>0.53918502506553834</v>
      </c>
      <c r="E186" s="91">
        <v>0.20183507335694251</v>
      </c>
      <c r="F186" s="91">
        <v>9.2006622821137835E-2</v>
      </c>
      <c r="G186" s="91">
        <v>2.299590672860231E-2</v>
      </c>
      <c r="H186" s="92">
        <f t="shared" si="8"/>
        <v>0.85602262797222095</v>
      </c>
      <c r="I186" s="91">
        <v>4.5991813457204617E-3</v>
      </c>
      <c r="J186" s="91">
        <v>0.1122200248355793</v>
      </c>
      <c r="K186" s="91">
        <v>2.7158165846479329E-2</v>
      </c>
      <c r="L186" s="93">
        <f t="shared" si="9"/>
        <v>1</v>
      </c>
    </row>
    <row r="187" spans="2:12">
      <c r="B187" s="245"/>
      <c r="C187" s="87" t="s">
        <v>117</v>
      </c>
      <c r="D187" s="91">
        <v>0.3834292539906613</v>
      </c>
      <c r="E187" s="91">
        <v>0.17971549571071779</v>
      </c>
      <c r="F187" s="91">
        <v>8.2310782929742643E-2</v>
      </c>
      <c r="G187" s="91">
        <v>2.5627103920078189E-2</v>
      </c>
      <c r="H187" s="92">
        <f t="shared" si="8"/>
        <v>0.67108263655119993</v>
      </c>
      <c r="I187" s="91">
        <v>5.1037028993376051E-3</v>
      </c>
      <c r="J187" s="91">
        <v>0.23965685742208709</v>
      </c>
      <c r="K187" s="91">
        <v>8.415680312737539E-2</v>
      </c>
      <c r="L187" s="93">
        <f t="shared" si="9"/>
        <v>1</v>
      </c>
    </row>
    <row r="188" spans="2:12">
      <c r="B188" s="245"/>
      <c r="C188" s="87" t="s">
        <v>118</v>
      </c>
      <c r="D188" s="91">
        <v>0.45189448608043958</v>
      </c>
      <c r="E188" s="91">
        <v>0.20271609661096521</v>
      </c>
      <c r="F188" s="91">
        <v>9.1064007372759048E-2</v>
      </c>
      <c r="G188" s="91">
        <v>2.8482498391556098E-2</v>
      </c>
      <c r="H188" s="92">
        <f t="shared" si="8"/>
        <v>0.77415708845572007</v>
      </c>
      <c r="I188" s="91">
        <v>4.8340259785424888E-3</v>
      </c>
      <c r="J188" s="91">
        <v>0.16300057382322769</v>
      </c>
      <c r="K188" s="91">
        <v>5.8008311742509859E-2</v>
      </c>
      <c r="L188" s="93">
        <f t="shared" si="9"/>
        <v>1</v>
      </c>
    </row>
    <row r="189" spans="2:12">
      <c r="B189" s="245"/>
      <c r="C189" s="94" t="s">
        <v>99</v>
      </c>
      <c r="D189" s="95">
        <v>0.48168400694306751</v>
      </c>
      <c r="E189" s="95">
        <v>0.18222421655692031</v>
      </c>
      <c r="F189" s="95">
        <v>0.1042990667209311</v>
      </c>
      <c r="G189" s="95">
        <v>1.878385006313461E-2</v>
      </c>
      <c r="H189" s="96">
        <f t="shared" si="8"/>
        <v>0.78699114028405359</v>
      </c>
      <c r="I189" s="95">
        <v>1.1451191557007251E-2</v>
      </c>
      <c r="J189" s="95">
        <v>0.13306618524354649</v>
      </c>
      <c r="K189" s="95">
        <v>6.8491482915392671E-2</v>
      </c>
      <c r="L189" s="97">
        <f t="shared" si="9"/>
        <v>1</v>
      </c>
    </row>
    <row r="190" spans="2:12">
      <c r="B190" s="244" t="s">
        <v>25</v>
      </c>
      <c r="C190" s="87" t="s">
        <v>110</v>
      </c>
      <c r="D190" s="91">
        <v>0.62059649196867672</v>
      </c>
      <c r="E190" s="91">
        <v>0.1343056757498364</v>
      </c>
      <c r="F190" s="91">
        <v>5.0045380669945343E-2</v>
      </c>
      <c r="G190" s="91">
        <v>7.3664436329864708E-3</v>
      </c>
      <c r="H190" s="92">
        <f t="shared" si="8"/>
        <v>0.81231399202144494</v>
      </c>
      <c r="I190" s="91">
        <v>7.9532262490237871E-2</v>
      </c>
      <c r="J190" s="91">
        <v>3.2948477109145793E-2</v>
      </c>
      <c r="K190" s="91">
        <v>7.5205268379171325E-2</v>
      </c>
      <c r="L190" s="93">
        <f t="shared" si="9"/>
        <v>0.99999999999999989</v>
      </c>
    </row>
    <row r="191" spans="2:12">
      <c r="B191" s="245"/>
      <c r="C191" s="87" t="s">
        <v>111</v>
      </c>
      <c r="D191" s="91">
        <v>0.28761904761904772</v>
      </c>
      <c r="E191" s="91">
        <v>0.27857142857142858</v>
      </c>
      <c r="F191" s="91">
        <v>4.8571428571428571E-2</v>
      </c>
      <c r="G191" s="91">
        <v>5.6190476190476193E-2</v>
      </c>
      <c r="H191" s="92">
        <f t="shared" si="8"/>
        <v>0.67095238095238119</v>
      </c>
      <c r="I191" s="91">
        <v>0.17428571428571429</v>
      </c>
      <c r="J191" s="91">
        <v>5.3809523809523807E-2</v>
      </c>
      <c r="K191" s="91">
        <v>0.100952380952381</v>
      </c>
      <c r="L191" s="93">
        <f t="shared" si="9"/>
        <v>1.0000000000000002</v>
      </c>
    </row>
    <row r="192" spans="2:12">
      <c r="B192" s="245"/>
      <c r="C192" s="87" t="s">
        <v>112</v>
      </c>
      <c r="D192" s="91">
        <v>0.13019264647383069</v>
      </c>
      <c r="E192" s="91">
        <v>0.20997897368869689</v>
      </c>
      <c r="F192" s="91">
        <v>0.27896800591009829</v>
      </c>
      <c r="G192" s="91">
        <v>5.5123032335057118E-3</v>
      </c>
      <c r="H192" s="92">
        <f t="shared" si="8"/>
        <v>0.62465192930613156</v>
      </c>
      <c r="I192" s="91">
        <v>1.164971301926465E-2</v>
      </c>
      <c r="J192" s="91">
        <v>0.18952094106950049</v>
      </c>
      <c r="K192" s="91">
        <v>0.17417741660510311</v>
      </c>
      <c r="L192" s="93">
        <f t="shared" si="9"/>
        <v>0.99999999999999978</v>
      </c>
    </row>
    <row r="193" spans="2:12">
      <c r="B193" s="245"/>
      <c r="C193" s="87" t="s">
        <v>113</v>
      </c>
      <c r="D193" s="91">
        <v>0.42620446533490008</v>
      </c>
      <c r="E193" s="91">
        <v>0.10705052878965921</v>
      </c>
      <c r="F193" s="91">
        <v>5.2173913043478258E-2</v>
      </c>
      <c r="G193" s="91">
        <v>8.4606345475910696E-3</v>
      </c>
      <c r="H193" s="92">
        <f t="shared" si="8"/>
        <v>0.59388954171562858</v>
      </c>
      <c r="I193" s="91">
        <v>8.2256169212690958E-4</v>
      </c>
      <c r="J193" s="91">
        <v>0.3310223266745006</v>
      </c>
      <c r="K193" s="91">
        <v>7.4265569917743843E-2</v>
      </c>
      <c r="L193" s="93">
        <f t="shared" si="9"/>
        <v>0.99999999999999989</v>
      </c>
    </row>
    <row r="194" spans="2:12">
      <c r="B194" s="245"/>
      <c r="C194" s="87" t="s">
        <v>114</v>
      </c>
      <c r="D194" s="91">
        <v>0.33041656396351993</v>
      </c>
      <c r="E194" s="91">
        <v>0.17365048065072711</v>
      </c>
      <c r="F194" s="91">
        <v>6.7414345575548443E-2</v>
      </c>
      <c r="G194" s="91">
        <v>1.725412866650234E-2</v>
      </c>
      <c r="H194" s="92">
        <f t="shared" si="8"/>
        <v>0.58873551885629782</v>
      </c>
      <c r="I194" s="91">
        <v>1.2817352723687451E-2</v>
      </c>
      <c r="J194" s="91">
        <v>0.29405964998767559</v>
      </c>
      <c r="K194" s="91">
        <v>0.1043874784323392</v>
      </c>
      <c r="L194" s="93">
        <f t="shared" si="9"/>
        <v>1</v>
      </c>
    </row>
    <row r="195" spans="2:12">
      <c r="B195" s="245"/>
      <c r="C195" s="87" t="s">
        <v>115</v>
      </c>
      <c r="D195" s="91">
        <v>0.20468938480096499</v>
      </c>
      <c r="E195" s="91">
        <v>0.26063027744270212</v>
      </c>
      <c r="F195" s="91">
        <v>0.1531966224366707</v>
      </c>
      <c r="G195" s="91">
        <v>2.4879372738238838E-2</v>
      </c>
      <c r="H195" s="92">
        <f t="shared" si="8"/>
        <v>0.64339565741857663</v>
      </c>
      <c r="I195" s="91">
        <v>6.7852834740651383E-3</v>
      </c>
      <c r="J195" s="91">
        <v>0.28550965018094088</v>
      </c>
      <c r="K195" s="91">
        <v>6.4309408926417372E-2</v>
      </c>
      <c r="L195" s="93">
        <f t="shared" si="9"/>
        <v>1</v>
      </c>
    </row>
    <row r="196" spans="2:12">
      <c r="B196" s="245"/>
      <c r="C196" s="87" t="s">
        <v>116</v>
      </c>
      <c r="D196" s="91">
        <v>0.49435749435749438</v>
      </c>
      <c r="E196" s="91">
        <v>0.193029193029193</v>
      </c>
      <c r="F196" s="91">
        <v>9.6681096681096687E-2</v>
      </c>
      <c r="G196" s="91">
        <v>2.4272024272024271E-2</v>
      </c>
      <c r="H196" s="92">
        <f t="shared" si="8"/>
        <v>0.80833980833980834</v>
      </c>
      <c r="I196" s="91">
        <v>9.768009768009768E-3</v>
      </c>
      <c r="J196" s="91">
        <v>0.14374514374514369</v>
      </c>
      <c r="K196" s="91">
        <v>3.8147038147038147E-2</v>
      </c>
      <c r="L196" s="93">
        <f t="shared" si="9"/>
        <v>0.99999999999999989</v>
      </c>
    </row>
    <row r="197" spans="2:12">
      <c r="B197" s="245"/>
      <c r="C197" s="87" t="s">
        <v>117</v>
      </c>
      <c r="D197" s="91">
        <v>0.32064821558630741</v>
      </c>
      <c r="E197" s="91">
        <v>0.1800801165331391</v>
      </c>
      <c r="F197" s="91">
        <v>7.4654042243262927E-2</v>
      </c>
      <c r="G197" s="91">
        <v>2.658412235979607E-2</v>
      </c>
      <c r="H197" s="92">
        <f t="shared" si="8"/>
        <v>0.60196649672250535</v>
      </c>
      <c r="I197" s="91">
        <v>1.329206117989803E-2</v>
      </c>
      <c r="J197" s="91">
        <v>0.28568827385287687</v>
      </c>
      <c r="K197" s="91">
        <v>9.9053168244719589E-2</v>
      </c>
      <c r="L197" s="93">
        <f t="shared" si="9"/>
        <v>0.99999999999999978</v>
      </c>
    </row>
    <row r="198" spans="2:12">
      <c r="B198" s="245"/>
      <c r="C198" s="87" t="s">
        <v>118</v>
      </c>
      <c r="D198" s="91">
        <v>0.41963175655674623</v>
      </c>
      <c r="E198" s="91">
        <v>0.1908708779823575</v>
      </c>
      <c r="F198" s="91">
        <v>8.9692735776448998E-2</v>
      </c>
      <c r="G198" s="91">
        <v>2.2378781599668461E-2</v>
      </c>
      <c r="H198" s="92">
        <f t="shared" si="8"/>
        <v>0.72257415191522112</v>
      </c>
      <c r="I198" s="91">
        <v>9.0284767035699494E-3</v>
      </c>
      <c r="J198" s="91">
        <v>0.18989402640459421</v>
      </c>
      <c r="K198" s="91">
        <v>7.8503344976614764E-2</v>
      </c>
      <c r="L198" s="93">
        <f t="shared" si="9"/>
        <v>1</v>
      </c>
    </row>
    <row r="199" spans="2:12">
      <c r="B199" s="245"/>
      <c r="C199" s="94" t="s">
        <v>99</v>
      </c>
      <c r="D199" s="95">
        <v>0.43254135964670498</v>
      </c>
      <c r="E199" s="95">
        <v>0.17808076539081119</v>
      </c>
      <c r="F199" s="95">
        <v>0.1008066738942688</v>
      </c>
      <c r="G199" s="95">
        <v>1.6317230480880539E-2</v>
      </c>
      <c r="H199" s="96">
        <f t="shared" si="8"/>
        <v>0.72774602941266542</v>
      </c>
      <c r="I199" s="95">
        <v>3.1740198330301422E-2</v>
      </c>
      <c r="J199" s="95">
        <v>0.15844373801779951</v>
      </c>
      <c r="K199" s="95">
        <v>8.2070034239233633E-2</v>
      </c>
      <c r="L199" s="97">
        <f t="shared" si="9"/>
        <v>1</v>
      </c>
    </row>
    <row r="200" spans="2:12">
      <c r="B200" s="246" t="s">
        <v>26</v>
      </c>
      <c r="C200" s="261"/>
      <c r="D200" s="210">
        <v>0.40020271697780613</v>
      </c>
      <c r="E200" s="210">
        <v>0.16661676510883069</v>
      </c>
      <c r="F200" s="210">
        <v>0.10302125695265719</v>
      </c>
      <c r="G200" s="210">
        <v>2.7833589136680829E-2</v>
      </c>
      <c r="H200" s="210">
        <v>0.69767432817597475</v>
      </c>
      <c r="I200" s="210">
        <v>6.9469449229377367E-2</v>
      </c>
      <c r="J200" s="210">
        <v>0.15228825954290909</v>
      </c>
      <c r="K200" s="210">
        <v>8.056796305173855E-2</v>
      </c>
      <c r="L200" s="210">
        <v>0.99999999999999978</v>
      </c>
    </row>
    <row r="201" spans="2:12">
      <c r="B201" s="244" t="s">
        <v>102</v>
      </c>
      <c r="C201" s="87" t="s">
        <v>110</v>
      </c>
      <c r="D201" s="91">
        <v>0.73056615558787075</v>
      </c>
      <c r="E201" s="91">
        <v>0.1026224100406976</v>
      </c>
      <c r="F201" s="91">
        <v>3.2509296038570022E-2</v>
      </c>
      <c r="G201" s="91">
        <v>8.1883216380547134E-3</v>
      </c>
      <c r="H201" s="92">
        <f t="shared" ref="H201:H211" si="10">SUM(D201:G201)</f>
        <v>0.87388618330519308</v>
      </c>
      <c r="I201" s="91">
        <v>6.7341381767076899E-3</v>
      </c>
      <c r="J201" s="91">
        <v>3.0049871660989821E-2</v>
      </c>
      <c r="K201" s="91">
        <v>8.9329806857109395E-2</v>
      </c>
      <c r="L201" s="93">
        <f t="shared" ref="L201:L211" si="11">SUM(H201:K201)</f>
        <v>1</v>
      </c>
    </row>
    <row r="202" spans="2:12">
      <c r="B202" s="245"/>
      <c r="C202" s="87" t="s">
        <v>111</v>
      </c>
      <c r="D202" s="91">
        <v>0.40885515496521191</v>
      </c>
      <c r="E202" s="91">
        <v>0.27817836812144209</v>
      </c>
      <c r="F202" s="91">
        <v>4.3390259329538272E-2</v>
      </c>
      <c r="G202" s="91">
        <v>6.0468058191018352E-2</v>
      </c>
      <c r="H202" s="92">
        <f t="shared" si="10"/>
        <v>0.79089184060721063</v>
      </c>
      <c r="I202" s="91">
        <v>6.6160657811511703E-2</v>
      </c>
      <c r="J202" s="91">
        <v>4.2631246046805828E-2</v>
      </c>
      <c r="K202" s="91">
        <v>0.1003162555344719</v>
      </c>
      <c r="L202" s="93">
        <f t="shared" si="11"/>
        <v>1</v>
      </c>
    </row>
    <row r="203" spans="2:12">
      <c r="B203" s="245"/>
      <c r="C203" s="87" t="s">
        <v>112</v>
      </c>
      <c r="D203" s="91">
        <v>9.2204327359584309E-2</v>
      </c>
      <c r="E203" s="91">
        <v>0.2279616152868377</v>
      </c>
      <c r="F203" s="91">
        <v>0.29961866715089891</v>
      </c>
      <c r="G203" s="91">
        <v>6.2996745400958221E-3</v>
      </c>
      <c r="H203" s="92">
        <f t="shared" si="10"/>
        <v>0.62608428433741681</v>
      </c>
      <c r="I203" s="91">
        <v>3.659677892472517E-3</v>
      </c>
      <c r="J203" s="91">
        <v>0.17071978321297371</v>
      </c>
      <c r="K203" s="91">
        <v>0.19953625455713711</v>
      </c>
      <c r="L203" s="93">
        <f t="shared" si="11"/>
        <v>1.0000000000000002</v>
      </c>
    </row>
    <row r="204" spans="2:12">
      <c r="B204" s="245"/>
      <c r="C204" s="87" t="s">
        <v>113</v>
      </c>
      <c r="D204" s="91">
        <v>0.50664229671897287</v>
      </c>
      <c r="E204" s="91">
        <v>0.1000356633380884</v>
      </c>
      <c r="F204" s="91">
        <v>4.4490014265335227E-2</v>
      </c>
      <c r="G204" s="91">
        <v>5.2157631954350917E-3</v>
      </c>
      <c r="H204" s="92">
        <f t="shared" si="10"/>
        <v>0.65638373751783163</v>
      </c>
      <c r="I204" s="91">
        <v>3.1205420827389442E-4</v>
      </c>
      <c r="J204" s="91">
        <v>0.27228958630527822</v>
      </c>
      <c r="K204" s="91">
        <v>7.1014621968616257E-2</v>
      </c>
      <c r="L204" s="93">
        <f t="shared" si="11"/>
        <v>1</v>
      </c>
    </row>
    <row r="205" spans="2:12">
      <c r="B205" s="245"/>
      <c r="C205" s="87" t="s">
        <v>114</v>
      </c>
      <c r="D205" s="91">
        <v>0.31096639144086519</v>
      </c>
      <c r="E205" s="91">
        <v>0.18723107338062561</v>
      </c>
      <c r="F205" s="91">
        <v>7.6636818234678453E-2</v>
      </c>
      <c r="G205" s="91">
        <v>2.4130712873589949E-2</v>
      </c>
      <c r="H205" s="92">
        <f t="shared" si="10"/>
        <v>0.59896499592975916</v>
      </c>
      <c r="I205" s="91">
        <v>6.9775555297127564E-4</v>
      </c>
      <c r="J205" s="91">
        <v>0.27997441562972442</v>
      </c>
      <c r="K205" s="91">
        <v>0.1203628328875451</v>
      </c>
      <c r="L205" s="93">
        <f t="shared" si="11"/>
        <v>0.99999999999999989</v>
      </c>
    </row>
    <row r="206" spans="2:12">
      <c r="B206" s="245"/>
      <c r="C206" s="87" t="s">
        <v>115</v>
      </c>
      <c r="D206" s="91">
        <v>0.20216562821365919</v>
      </c>
      <c r="E206" s="91">
        <v>0.26993728953682983</v>
      </c>
      <c r="F206" s="91">
        <v>0.15433629746133529</v>
      </c>
      <c r="G206" s="91">
        <v>2.5366483173028451E-2</v>
      </c>
      <c r="H206" s="92">
        <f t="shared" si="10"/>
        <v>0.65180569838485281</v>
      </c>
      <c r="I206" s="91">
        <v>1.270340572258182E-3</v>
      </c>
      <c r="J206" s="91">
        <v>0.26600528300364967</v>
      </c>
      <c r="K206" s="91">
        <v>8.0918678039239411E-2</v>
      </c>
      <c r="L206" s="93">
        <f t="shared" si="11"/>
        <v>1</v>
      </c>
    </row>
    <row r="207" spans="2:12">
      <c r="B207" s="245"/>
      <c r="C207" s="87" t="s">
        <v>116</v>
      </c>
      <c r="D207" s="91">
        <v>0.48064497684258672</v>
      </c>
      <c r="E207" s="91">
        <v>0.20006861455772201</v>
      </c>
      <c r="F207" s="91">
        <v>0.112713705757905</v>
      </c>
      <c r="G207" s="91">
        <v>3.330664989421922E-2</v>
      </c>
      <c r="H207" s="92">
        <f t="shared" si="10"/>
        <v>0.82673394705243286</v>
      </c>
      <c r="I207" s="91">
        <v>2.8303505060323629E-3</v>
      </c>
      <c r="J207" s="91">
        <v>0.1260792498141689</v>
      </c>
      <c r="K207" s="91">
        <v>4.4356452627365768E-2</v>
      </c>
      <c r="L207" s="93">
        <f t="shared" si="11"/>
        <v>0.99999999999999989</v>
      </c>
    </row>
    <row r="208" spans="2:12">
      <c r="B208" s="245"/>
      <c r="C208" s="87" t="s">
        <v>117</v>
      </c>
      <c r="D208" s="91">
        <v>0.32831047419890519</v>
      </c>
      <c r="E208" s="91">
        <v>0.16913709330217111</v>
      </c>
      <c r="F208" s="91">
        <v>8.8935358878159787E-2</v>
      </c>
      <c r="G208" s="91">
        <v>3.5365028599544858E-2</v>
      </c>
      <c r="H208" s="92">
        <f t="shared" si="10"/>
        <v>0.62174795497878099</v>
      </c>
      <c r="I208" s="91">
        <v>7.9955716833753608E-4</v>
      </c>
      <c r="J208" s="91">
        <v>0.25954855772187713</v>
      </c>
      <c r="K208" s="91">
        <v>0.11790393013100441</v>
      </c>
      <c r="L208" s="93">
        <f t="shared" si="11"/>
        <v>1</v>
      </c>
    </row>
    <row r="209" spans="2:12">
      <c r="B209" s="245"/>
      <c r="C209" s="87" t="s">
        <v>118</v>
      </c>
      <c r="D209" s="91">
        <v>0.37283762775774809</v>
      </c>
      <c r="E209" s="91">
        <v>0.18827109449938809</v>
      </c>
      <c r="F209" s="91">
        <v>0.1233199925026737</v>
      </c>
      <c r="G209" s="91">
        <v>4.3969613777439673E-2</v>
      </c>
      <c r="H209" s="92">
        <f t="shared" si="10"/>
        <v>0.72839832853724951</v>
      </c>
      <c r="I209" s="91">
        <v>1.0584460688651471E-3</v>
      </c>
      <c r="J209" s="91">
        <v>0.19027773183827831</v>
      </c>
      <c r="K209" s="91">
        <v>8.0265493555607012E-2</v>
      </c>
      <c r="L209" s="93">
        <f t="shared" si="11"/>
        <v>1</v>
      </c>
    </row>
    <row r="210" spans="2:12">
      <c r="B210" s="245"/>
      <c r="C210" s="94" t="s">
        <v>99</v>
      </c>
      <c r="D210" s="95">
        <v>0.41108601728201088</v>
      </c>
      <c r="E210" s="95">
        <v>0.18234262300935511</v>
      </c>
      <c r="F210" s="95">
        <v>0.1241028708133971</v>
      </c>
      <c r="G210" s="95">
        <v>2.3323127187031351E-2</v>
      </c>
      <c r="H210" s="96">
        <f t="shared" si="10"/>
        <v>0.74085463829179443</v>
      </c>
      <c r="I210" s="95">
        <v>4.1598228950939084E-3</v>
      </c>
      <c r="J210" s="95">
        <v>0.15633033992715839</v>
      </c>
      <c r="K210" s="95">
        <v>9.8655198885953019E-2</v>
      </c>
      <c r="L210" s="97">
        <f t="shared" si="11"/>
        <v>0.99999999999999967</v>
      </c>
    </row>
    <row r="211" spans="2:12">
      <c r="B211" s="246" t="s">
        <v>103</v>
      </c>
      <c r="C211" s="261"/>
      <c r="D211" s="95">
        <v>0.39956214000670581</v>
      </c>
      <c r="E211" s="95">
        <v>0.16860106780251491</v>
      </c>
      <c r="F211" s="95">
        <v>0.1051745696784796</v>
      </c>
      <c r="G211" s="95">
        <v>2.767200763094943E-2</v>
      </c>
      <c r="H211" s="96">
        <f t="shared" si="10"/>
        <v>0.70100978511864975</v>
      </c>
      <c r="I211" s="95">
        <v>6.3755590567669815E-2</v>
      </c>
      <c r="J211" s="95">
        <v>0.15382083904279731</v>
      </c>
      <c r="K211" s="95">
        <v>8.1413785270883027E-2</v>
      </c>
      <c r="L211" s="97">
        <f t="shared" si="11"/>
        <v>0.99999999999999989</v>
      </c>
    </row>
  </sheetData>
  <mergeCells count="25">
    <mergeCell ref="B200:C200"/>
    <mergeCell ref="B201:B210"/>
    <mergeCell ref="B211:C211"/>
    <mergeCell ref="B100:C100"/>
    <mergeCell ref="B150:B159"/>
    <mergeCell ref="B160:B169"/>
    <mergeCell ref="B170:B179"/>
    <mergeCell ref="B180:B189"/>
    <mergeCell ref="B190:B199"/>
    <mergeCell ref="D108:K108"/>
    <mergeCell ref="B110:B119"/>
    <mergeCell ref="B120:B129"/>
    <mergeCell ref="B130:B139"/>
    <mergeCell ref="B140:B149"/>
    <mergeCell ref="B68:B77"/>
    <mergeCell ref="B78:B87"/>
    <mergeCell ref="B88:B97"/>
    <mergeCell ref="B98:C98"/>
    <mergeCell ref="D6:K6"/>
    <mergeCell ref="B8:B17"/>
    <mergeCell ref="B18:B27"/>
    <mergeCell ref="B28:B37"/>
    <mergeCell ref="B38:B47"/>
    <mergeCell ref="B48:B57"/>
    <mergeCell ref="B58:B67"/>
  </mergeCell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DCAC-B00A-2449-8851-9762395D219F}">
  <dimension ref="B2:AL190"/>
  <sheetViews>
    <sheetView tabSelected="1" zoomScale="85" zoomScaleNormal="85" workbookViewId="0">
      <selection activeCell="G16" sqref="G16"/>
    </sheetView>
  </sheetViews>
  <sheetFormatPr defaultColWidth="11" defaultRowHeight="15.75"/>
  <cols>
    <col min="1" max="1" width="4.125" customWidth="1"/>
    <col min="2" max="2" width="12.625" customWidth="1"/>
    <col min="3" max="3" width="35.375" customWidth="1"/>
    <col min="32" max="32" width="12.875" bestFit="1" customWidth="1"/>
  </cols>
  <sheetData>
    <row r="2" spans="2:30" ht="18.75">
      <c r="B2" s="1" t="s">
        <v>143</v>
      </c>
    </row>
    <row r="3" spans="2:30" ht="18.75">
      <c r="B3" s="1" t="s">
        <v>1</v>
      </c>
    </row>
    <row r="4" spans="2:30" ht="18.75">
      <c r="B4" s="1" t="s">
        <v>62</v>
      </c>
    </row>
    <row r="5" spans="2:30" s="98" customFormat="1" ht="15">
      <c r="B5" s="187" t="s">
        <v>144</v>
      </c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</row>
    <row r="6" spans="2:30" s="98" customFormat="1" ht="15"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</row>
    <row r="7" spans="2:30" s="98" customFormat="1" ht="15">
      <c r="B7" s="189"/>
      <c r="C7" s="189"/>
      <c r="D7" s="257" t="s">
        <v>145</v>
      </c>
      <c r="E7" s="257"/>
      <c r="F7" s="257"/>
      <c r="G7" s="257"/>
      <c r="H7" s="257"/>
      <c r="I7" s="257"/>
      <c r="J7" s="103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</row>
    <row r="8" spans="2:30" s="98" customFormat="1" ht="30.75" thickBot="1">
      <c r="B8" s="213"/>
      <c r="C8" s="90" t="s">
        <v>146</v>
      </c>
      <c r="D8" s="90" t="s">
        <v>147</v>
      </c>
      <c r="E8" s="90" t="s">
        <v>148</v>
      </c>
      <c r="F8" s="90" t="s">
        <v>149</v>
      </c>
      <c r="G8" s="90" t="s">
        <v>150</v>
      </c>
      <c r="H8" s="90" t="s">
        <v>151</v>
      </c>
      <c r="I8" s="90" t="s">
        <v>152</v>
      </c>
      <c r="J8" s="99" t="s">
        <v>153</v>
      </c>
      <c r="K8" s="175"/>
      <c r="L8" s="90" t="s">
        <v>154</v>
      </c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</row>
    <row r="9" spans="2:30" s="98" customFormat="1" ht="15" customHeight="1" thickTop="1">
      <c r="B9" s="258" t="s">
        <v>155</v>
      </c>
      <c r="C9" s="101" t="s">
        <v>156</v>
      </c>
      <c r="D9" s="214">
        <v>3384000</v>
      </c>
      <c r="E9" s="214">
        <v>831000</v>
      </c>
      <c r="F9" s="214">
        <v>798000</v>
      </c>
      <c r="G9" s="214">
        <f>+H9+I9</f>
        <v>1126000</v>
      </c>
      <c r="H9" s="214">
        <v>526000</v>
      </c>
      <c r="I9" s="214">
        <v>600000</v>
      </c>
      <c r="J9" s="215">
        <f>SUM(D9:I9)</f>
        <v>7265000</v>
      </c>
      <c r="K9" s="182"/>
      <c r="L9" s="182">
        <f>D9+E9</f>
        <v>4215000</v>
      </c>
      <c r="M9" s="182"/>
      <c r="N9" s="182"/>
      <c r="O9" s="182">
        <f>G9+H9+I9</f>
        <v>2252000</v>
      </c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</row>
    <row r="10" spans="2:30" s="98" customFormat="1" ht="15" customHeight="1">
      <c r="B10" s="259"/>
      <c r="C10" s="88" t="s">
        <v>157</v>
      </c>
      <c r="D10" s="182">
        <v>16709000</v>
      </c>
      <c r="E10" s="182">
        <v>3157000</v>
      </c>
      <c r="F10" s="182">
        <v>3839000</v>
      </c>
      <c r="G10" s="182">
        <v>13582000</v>
      </c>
      <c r="H10" s="182">
        <v>4223000</v>
      </c>
      <c r="I10" s="182">
        <v>5017000</v>
      </c>
      <c r="J10" s="216">
        <f t="shared" ref="J10:J19" si="0">SUM(D10:I10)</f>
        <v>46527000</v>
      </c>
      <c r="K10" s="182"/>
      <c r="L10" s="182">
        <f t="shared" ref="L10:L20" si="1">D10+E10</f>
        <v>19866000</v>
      </c>
      <c r="M10" s="182"/>
      <c r="N10" s="182"/>
      <c r="O10" s="182">
        <f t="shared" ref="O10:O14" si="2">G10+H10+I10</f>
        <v>22822000</v>
      </c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</row>
    <row r="11" spans="2:30" s="98" customFormat="1" ht="15" customHeight="1">
      <c r="B11" s="259"/>
      <c r="C11" s="88" t="s">
        <v>158</v>
      </c>
      <c r="D11" s="182">
        <v>14782000</v>
      </c>
      <c r="E11" s="182">
        <v>3250000</v>
      </c>
      <c r="F11" s="182">
        <v>4043000</v>
      </c>
      <c r="G11" s="182">
        <v>15390000</v>
      </c>
      <c r="H11" s="182">
        <v>4430000</v>
      </c>
      <c r="I11" s="182">
        <v>6336000</v>
      </c>
      <c r="J11" s="216">
        <f t="shared" si="0"/>
        <v>48231000</v>
      </c>
      <c r="K11" s="182"/>
      <c r="L11" s="182">
        <f t="shared" si="1"/>
        <v>18032000</v>
      </c>
      <c r="M11" s="182"/>
      <c r="N11" s="182"/>
      <c r="O11" s="182">
        <f t="shared" si="2"/>
        <v>26156000</v>
      </c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</row>
    <row r="12" spans="2:30" s="98" customFormat="1" ht="15" customHeight="1">
      <c r="B12" s="259"/>
      <c r="C12" s="88" t="s">
        <v>159</v>
      </c>
      <c r="D12" s="182">
        <v>16745000</v>
      </c>
      <c r="E12" s="182">
        <v>3192000</v>
      </c>
      <c r="F12" s="182">
        <v>4209000</v>
      </c>
      <c r="G12" s="182">
        <v>15756000</v>
      </c>
      <c r="H12" s="182">
        <v>4929000</v>
      </c>
      <c r="I12" s="182">
        <v>6253000</v>
      </c>
      <c r="J12" s="216">
        <f t="shared" si="0"/>
        <v>51084000</v>
      </c>
      <c r="K12" s="182"/>
      <c r="L12" s="182">
        <f t="shared" si="1"/>
        <v>19937000</v>
      </c>
      <c r="M12" s="182"/>
      <c r="N12" s="182"/>
      <c r="O12" s="182">
        <f t="shared" si="2"/>
        <v>26938000</v>
      </c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</row>
    <row r="13" spans="2:30" s="98" customFormat="1" ht="15" customHeight="1">
      <c r="B13" s="259"/>
      <c r="C13" s="88" t="s">
        <v>160</v>
      </c>
      <c r="D13" s="182">
        <v>11700000</v>
      </c>
      <c r="E13" s="182">
        <v>2003000</v>
      </c>
      <c r="F13" s="182">
        <v>2860000</v>
      </c>
      <c r="G13" s="182">
        <v>9913000</v>
      </c>
      <c r="H13" s="182">
        <v>2758000</v>
      </c>
      <c r="I13" s="182">
        <v>3650000</v>
      </c>
      <c r="J13" s="216">
        <f t="shared" si="0"/>
        <v>32884000</v>
      </c>
      <c r="K13" s="182"/>
      <c r="L13" s="182">
        <f t="shared" si="1"/>
        <v>13703000</v>
      </c>
      <c r="M13" s="182"/>
      <c r="N13" s="182"/>
      <c r="O13" s="182">
        <f t="shared" si="2"/>
        <v>16321000</v>
      </c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</row>
    <row r="14" spans="2:30" s="98" customFormat="1" ht="15" customHeight="1">
      <c r="B14" s="260"/>
      <c r="C14" s="100" t="s">
        <v>161</v>
      </c>
      <c r="D14" s="217">
        <v>63320000</v>
      </c>
      <c r="E14" s="217">
        <v>12433000</v>
      </c>
      <c r="F14" s="217">
        <v>15749000</v>
      </c>
      <c r="G14" s="217">
        <v>56520000</v>
      </c>
      <c r="H14" s="217">
        <v>16866000</v>
      </c>
      <c r="I14" s="217">
        <v>21856000</v>
      </c>
      <c r="J14" s="218">
        <f t="shared" si="0"/>
        <v>186744000</v>
      </c>
      <c r="K14" s="182"/>
      <c r="L14" s="182">
        <f t="shared" si="1"/>
        <v>75753000</v>
      </c>
      <c r="M14" s="182"/>
      <c r="N14" s="182"/>
      <c r="O14" s="182">
        <f t="shared" si="2"/>
        <v>95242000</v>
      </c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</row>
    <row r="15" spans="2:30" s="98" customFormat="1" ht="15" customHeight="1">
      <c r="B15" s="259" t="s">
        <v>162</v>
      </c>
      <c r="C15" s="88" t="s">
        <v>156</v>
      </c>
      <c r="D15" s="182">
        <v>62000</v>
      </c>
      <c r="E15" s="182">
        <v>15000</v>
      </c>
      <c r="F15" s="182">
        <v>16000</v>
      </c>
      <c r="G15" s="182">
        <v>63000</v>
      </c>
      <c r="H15" s="182">
        <v>20000</v>
      </c>
      <c r="I15" s="182">
        <v>30000</v>
      </c>
      <c r="J15" s="216">
        <f t="shared" si="0"/>
        <v>206000</v>
      </c>
      <c r="K15" s="182"/>
      <c r="L15" s="182">
        <f t="shared" si="1"/>
        <v>77000</v>
      </c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</row>
    <row r="16" spans="2:30" s="98" customFormat="1" ht="15" customHeight="1">
      <c r="B16" s="259"/>
      <c r="C16" s="88" t="s">
        <v>157</v>
      </c>
      <c r="D16" s="182">
        <v>362000</v>
      </c>
      <c r="E16" s="182">
        <v>62000</v>
      </c>
      <c r="F16" s="182">
        <v>95000</v>
      </c>
      <c r="G16" s="182">
        <v>549000</v>
      </c>
      <c r="H16" s="182">
        <v>207000</v>
      </c>
      <c r="I16" s="182">
        <v>268000</v>
      </c>
      <c r="J16" s="216">
        <f t="shared" si="0"/>
        <v>1543000</v>
      </c>
      <c r="K16" s="182"/>
      <c r="L16" s="182">
        <f t="shared" si="1"/>
        <v>424000</v>
      </c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</row>
    <row r="17" spans="2:30" s="98" customFormat="1" ht="15" customHeight="1">
      <c r="B17" s="259"/>
      <c r="C17" s="88" t="s">
        <v>158</v>
      </c>
      <c r="D17" s="182">
        <v>274000</v>
      </c>
      <c r="E17" s="182">
        <v>62000</v>
      </c>
      <c r="F17" s="182">
        <v>91000</v>
      </c>
      <c r="G17" s="182">
        <v>588000</v>
      </c>
      <c r="H17" s="182">
        <v>202000</v>
      </c>
      <c r="I17" s="182">
        <v>326000</v>
      </c>
      <c r="J17" s="216">
        <f t="shared" si="0"/>
        <v>1543000</v>
      </c>
      <c r="K17" s="182"/>
      <c r="L17" s="182">
        <f t="shared" si="1"/>
        <v>336000</v>
      </c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</row>
    <row r="18" spans="2:30" s="98" customFormat="1" ht="15" customHeight="1">
      <c r="B18" s="259"/>
      <c r="C18" s="88" t="s">
        <v>159</v>
      </c>
      <c r="D18" s="182">
        <v>346000</v>
      </c>
      <c r="E18" s="182">
        <v>64000</v>
      </c>
      <c r="F18" s="182">
        <v>109000</v>
      </c>
      <c r="G18" s="182">
        <v>664000</v>
      </c>
      <c r="H18" s="182">
        <v>254000</v>
      </c>
      <c r="I18" s="182">
        <v>328000</v>
      </c>
      <c r="J18" s="216">
        <f t="shared" si="0"/>
        <v>1765000</v>
      </c>
      <c r="K18" s="182"/>
      <c r="L18" s="182">
        <f t="shared" si="1"/>
        <v>410000</v>
      </c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</row>
    <row r="19" spans="2:30" s="98" customFormat="1" ht="15" customHeight="1">
      <c r="B19" s="259"/>
      <c r="C19" s="88" t="s">
        <v>160</v>
      </c>
      <c r="D19" s="182">
        <v>213000</v>
      </c>
      <c r="E19" s="182">
        <v>37000</v>
      </c>
      <c r="F19" s="182">
        <v>60000</v>
      </c>
      <c r="G19" s="182">
        <v>335000</v>
      </c>
      <c r="H19" s="182">
        <v>111000</v>
      </c>
      <c r="I19" s="182">
        <v>184000</v>
      </c>
      <c r="J19" s="216">
        <f t="shared" si="0"/>
        <v>940000</v>
      </c>
      <c r="K19" s="182"/>
      <c r="L19" s="182">
        <f t="shared" si="1"/>
        <v>250000</v>
      </c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</row>
    <row r="20" spans="2:30" s="98" customFormat="1" ht="15" customHeight="1">
      <c r="B20" s="260"/>
      <c r="C20" s="100" t="s">
        <v>161</v>
      </c>
      <c r="D20" s="217">
        <v>1257000</v>
      </c>
      <c r="E20" s="217">
        <v>240000</v>
      </c>
      <c r="F20" s="217">
        <v>371000</v>
      </c>
      <c r="G20" s="217">
        <v>2199000</v>
      </c>
      <c r="H20" s="217">
        <v>794000</v>
      </c>
      <c r="I20" s="217">
        <v>1136000</v>
      </c>
      <c r="J20" s="218">
        <f t="shared" ref="J20" si="3">SUM(D20:I20)</f>
        <v>5997000</v>
      </c>
      <c r="K20" s="182"/>
      <c r="L20" s="182">
        <f t="shared" si="1"/>
        <v>1497000</v>
      </c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</row>
    <row r="21" spans="2:30" s="98" customFormat="1" ht="15" customHeight="1">
      <c r="B21" s="259" t="s">
        <v>163</v>
      </c>
      <c r="C21" s="88" t="s">
        <v>156</v>
      </c>
      <c r="D21" s="219">
        <v>54.942363925598912</v>
      </c>
      <c r="E21" s="219">
        <v>54.149282708754541</v>
      </c>
      <c r="F21" s="219">
        <v>48.447261875445101</v>
      </c>
      <c r="G21" s="219">
        <v>30.042527575853391</v>
      </c>
      <c r="H21" s="219">
        <v>25.675681728612137</v>
      </c>
      <c r="I21" s="219">
        <v>19.785189414783659</v>
      </c>
      <c r="J21" s="220">
        <v>38.7796022262809</v>
      </c>
      <c r="K21" s="219"/>
      <c r="L21" s="219">
        <f>L9/L15</f>
        <v>54.740259740259738</v>
      </c>
      <c r="M21" s="219"/>
      <c r="N21" s="219"/>
      <c r="O21" s="219">
        <f t="shared" ref="O21:U26" si="4">D9/D15</f>
        <v>54.58064516129032</v>
      </c>
      <c r="P21" s="219">
        <f t="shared" si="4"/>
        <v>55.4</v>
      </c>
      <c r="Q21" s="219">
        <f t="shared" si="4"/>
        <v>49.875</v>
      </c>
      <c r="R21" s="219">
        <f t="shared" si="4"/>
        <v>17.873015873015873</v>
      </c>
      <c r="S21" s="219">
        <f t="shared" si="4"/>
        <v>26.3</v>
      </c>
      <c r="T21" s="219">
        <f t="shared" si="4"/>
        <v>20</v>
      </c>
      <c r="U21" s="219">
        <f t="shared" si="4"/>
        <v>35.266990291262132</v>
      </c>
      <c r="V21" s="219"/>
      <c r="W21" s="219"/>
      <c r="X21" s="219"/>
      <c r="Y21" s="219"/>
      <c r="Z21" s="219"/>
      <c r="AA21" s="219"/>
      <c r="AB21" s="219"/>
      <c r="AC21" s="219"/>
      <c r="AD21" s="219"/>
    </row>
    <row r="22" spans="2:30" s="98" customFormat="1" ht="15" customHeight="1">
      <c r="B22" s="259"/>
      <c r="C22" s="88" t="s">
        <v>157</v>
      </c>
      <c r="D22" s="219">
        <v>46.124494550965615</v>
      </c>
      <c r="E22" s="219">
        <v>50.914534441038228</v>
      </c>
      <c r="F22" s="219">
        <v>40.387150555367469</v>
      </c>
      <c r="G22" s="219">
        <v>24.730230477604302</v>
      </c>
      <c r="H22" s="219">
        <v>20.356819663051848</v>
      </c>
      <c r="I22" s="219">
        <v>18.736113431644377</v>
      </c>
      <c r="J22" s="220">
        <v>30.139082253136678</v>
      </c>
      <c r="K22" s="219"/>
      <c r="L22" s="219">
        <f t="shared" ref="L22:L26" si="5">L10/L16</f>
        <v>46.85377358490566</v>
      </c>
      <c r="M22" s="219"/>
      <c r="N22" s="219"/>
      <c r="O22" s="219">
        <f t="shared" si="4"/>
        <v>46.157458563535911</v>
      </c>
      <c r="P22" s="219">
        <f t="shared" si="4"/>
        <v>50.91935483870968</v>
      </c>
      <c r="Q22" s="219">
        <f t="shared" si="4"/>
        <v>40.410526315789475</v>
      </c>
      <c r="R22" s="219">
        <f t="shared" si="4"/>
        <v>24.739526411657558</v>
      </c>
      <c r="S22" s="219">
        <f t="shared" si="4"/>
        <v>20.40096618357488</v>
      </c>
      <c r="T22" s="219">
        <f t="shared" si="4"/>
        <v>18.720149253731343</v>
      </c>
      <c r="U22" s="219">
        <f t="shared" si="4"/>
        <v>30.153596889176928</v>
      </c>
      <c r="V22" s="219"/>
      <c r="W22" s="219"/>
      <c r="X22" s="219"/>
      <c r="Y22" s="219"/>
      <c r="Z22" s="219"/>
      <c r="AA22" s="219"/>
      <c r="AB22" s="219"/>
      <c r="AC22" s="219"/>
      <c r="AD22" s="219"/>
    </row>
    <row r="23" spans="2:30" s="98" customFormat="1" ht="15" customHeight="1">
      <c r="B23" s="259"/>
      <c r="C23" s="88" t="s">
        <v>158</v>
      </c>
      <c r="D23" s="219">
        <v>54.033138913959036</v>
      </c>
      <c r="E23" s="219">
        <v>52.603876796561735</v>
      </c>
      <c r="F23" s="219">
        <v>44.296840421793931</v>
      </c>
      <c r="G23" s="219">
        <v>26.160889866389269</v>
      </c>
      <c r="H23" s="219">
        <v>21.972634061115656</v>
      </c>
      <c r="I23" s="219">
        <v>19.44446540272817</v>
      </c>
      <c r="J23" s="220">
        <v>31.270603468435294</v>
      </c>
      <c r="K23" s="219"/>
      <c r="L23" s="219">
        <f t="shared" si="5"/>
        <v>53.666666666666664</v>
      </c>
      <c r="M23" s="219"/>
      <c r="N23" s="219"/>
      <c r="O23" s="219">
        <f t="shared" si="4"/>
        <v>53.948905109489054</v>
      </c>
      <c r="P23" s="219">
        <f t="shared" si="4"/>
        <v>52.41935483870968</v>
      </c>
      <c r="Q23" s="219">
        <f t="shared" si="4"/>
        <v>44.428571428571431</v>
      </c>
      <c r="R23" s="219">
        <f t="shared" si="4"/>
        <v>26.173469387755102</v>
      </c>
      <c r="S23" s="219">
        <f t="shared" si="4"/>
        <v>21.93069306930693</v>
      </c>
      <c r="T23" s="219">
        <f t="shared" si="4"/>
        <v>19.435582822085891</v>
      </c>
      <c r="U23" s="219">
        <f t="shared" si="4"/>
        <v>31.257939079714841</v>
      </c>
      <c r="V23" s="219"/>
      <c r="W23" s="219"/>
      <c r="X23" s="219"/>
      <c r="Y23" s="219"/>
      <c r="Z23" s="219"/>
      <c r="AA23" s="219"/>
      <c r="AB23" s="219"/>
      <c r="AC23" s="219"/>
      <c r="AD23" s="219"/>
    </row>
    <row r="24" spans="2:30" s="98" customFormat="1" ht="15" customHeight="1">
      <c r="B24" s="259"/>
      <c r="C24" s="88" t="s">
        <v>159</v>
      </c>
      <c r="D24" s="219">
        <v>48.427614127413577</v>
      </c>
      <c r="E24" s="219">
        <v>49.640154329921032</v>
      </c>
      <c r="F24" s="219">
        <v>38.639111648164963</v>
      </c>
      <c r="G24" s="219">
        <v>23.718981034681267</v>
      </c>
      <c r="H24" s="219">
        <v>19.389923742978386</v>
      </c>
      <c r="I24" s="219">
        <v>19.057849810889714</v>
      </c>
      <c r="J24" s="220">
        <v>28.933174815839052</v>
      </c>
      <c r="K24" s="219"/>
      <c r="L24" s="219">
        <f t="shared" si="5"/>
        <v>48.626829268292681</v>
      </c>
      <c r="M24" s="219"/>
      <c r="N24" s="219"/>
      <c r="O24" s="219">
        <f t="shared" si="4"/>
        <v>48.395953757225435</v>
      </c>
      <c r="P24" s="219">
        <f t="shared" si="4"/>
        <v>49.875</v>
      </c>
      <c r="Q24" s="219">
        <f t="shared" si="4"/>
        <v>38.61467889908257</v>
      </c>
      <c r="R24" s="219">
        <f t="shared" si="4"/>
        <v>23.728915662650603</v>
      </c>
      <c r="S24" s="219">
        <f t="shared" si="4"/>
        <v>19.405511811023622</v>
      </c>
      <c r="T24" s="219">
        <f t="shared" si="4"/>
        <v>19.064024390243901</v>
      </c>
      <c r="U24" s="219">
        <f t="shared" si="4"/>
        <v>28.942776203966005</v>
      </c>
      <c r="V24" s="219"/>
      <c r="W24" s="219"/>
      <c r="X24" s="219"/>
      <c r="Y24" s="219"/>
      <c r="Z24" s="219"/>
      <c r="AA24" s="219"/>
      <c r="AB24" s="219"/>
      <c r="AC24" s="219"/>
      <c r="AD24" s="219"/>
    </row>
    <row r="25" spans="2:30" s="98" customFormat="1" ht="15" customHeight="1">
      <c r="B25" s="259"/>
      <c r="C25" s="88" t="s">
        <v>160</v>
      </c>
      <c r="D25" s="219">
        <v>54.895667646505153</v>
      </c>
      <c r="E25" s="219">
        <v>53.613052769294711</v>
      </c>
      <c r="F25" s="219">
        <v>47.639440798176246</v>
      </c>
      <c r="G25" s="219">
        <v>29.546376206986089</v>
      </c>
      <c r="H25" s="219">
        <v>24.773757176614971</v>
      </c>
      <c r="I25" s="219">
        <v>19.79737340813486</v>
      </c>
      <c r="J25" s="220">
        <v>34.918419778493245</v>
      </c>
      <c r="K25" s="219"/>
      <c r="L25" s="219">
        <f t="shared" si="5"/>
        <v>54.811999999999998</v>
      </c>
      <c r="M25" s="219"/>
      <c r="N25" s="219"/>
      <c r="O25" s="219">
        <f t="shared" si="4"/>
        <v>54.929577464788736</v>
      </c>
      <c r="P25" s="219">
        <f t="shared" si="4"/>
        <v>54.135135135135137</v>
      </c>
      <c r="Q25" s="219">
        <f t="shared" si="4"/>
        <v>47.666666666666664</v>
      </c>
      <c r="R25" s="219">
        <f t="shared" si="4"/>
        <v>29.591044776119404</v>
      </c>
      <c r="S25" s="219">
        <f t="shared" si="4"/>
        <v>24.846846846846848</v>
      </c>
      <c r="T25" s="219">
        <f t="shared" si="4"/>
        <v>19.836956521739129</v>
      </c>
      <c r="U25" s="219">
        <f t="shared" si="4"/>
        <v>34.982978723404258</v>
      </c>
      <c r="V25" s="219"/>
      <c r="W25" s="219"/>
      <c r="X25" s="219"/>
      <c r="Y25" s="219"/>
      <c r="Z25" s="219"/>
      <c r="AA25" s="219"/>
      <c r="AB25" s="219"/>
      <c r="AC25" s="219"/>
      <c r="AD25" s="219"/>
    </row>
    <row r="26" spans="2:30" s="98" customFormat="1" ht="15" customHeight="1">
      <c r="B26" s="260"/>
      <c r="C26" s="100" t="s">
        <v>161</v>
      </c>
      <c r="D26" s="221">
        <v>50.400814581161221</v>
      </c>
      <c r="E26" s="221">
        <v>51.632597845186446</v>
      </c>
      <c r="F26" s="221">
        <v>42.363099559532387</v>
      </c>
      <c r="G26" s="221">
        <v>25.693005799698579</v>
      </c>
      <c r="H26" s="221">
        <v>21.212940917413416</v>
      </c>
      <c r="I26" s="221">
        <v>19.232301049000654</v>
      </c>
      <c r="J26" s="222">
        <v>31.122996108207584</v>
      </c>
      <c r="K26" s="219"/>
      <c r="L26" s="219">
        <f t="shared" si="5"/>
        <v>50.603206412825649</v>
      </c>
      <c r="M26" s="219"/>
      <c r="N26" s="219"/>
      <c r="O26" s="219">
        <f t="shared" si="4"/>
        <v>50.373906125696102</v>
      </c>
      <c r="P26" s="219">
        <f t="shared" si="4"/>
        <v>51.804166666666667</v>
      </c>
      <c r="Q26" s="219">
        <f t="shared" si="4"/>
        <v>42.450134770889491</v>
      </c>
      <c r="R26" s="219">
        <f t="shared" si="4"/>
        <v>25.702592087312414</v>
      </c>
      <c r="S26" s="219">
        <f t="shared" si="4"/>
        <v>21.241813602015114</v>
      </c>
      <c r="T26" s="219">
        <f t="shared" si="4"/>
        <v>19.239436619718308</v>
      </c>
      <c r="U26" s="219">
        <f t="shared" si="4"/>
        <v>31.139569784892448</v>
      </c>
      <c r="V26" s="219"/>
      <c r="W26" s="219"/>
      <c r="X26" s="219"/>
      <c r="Y26" s="219"/>
      <c r="Z26" s="219"/>
      <c r="AA26" s="219"/>
      <c r="AB26" s="219"/>
      <c r="AC26" s="219"/>
      <c r="AD26" s="219"/>
    </row>
    <row r="27" spans="2:30" s="98" customFormat="1" ht="15"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</row>
    <row r="28" spans="2:30" s="98" customFormat="1" ht="15"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7"/>
      <c r="AB28" s="187"/>
      <c r="AC28" s="187"/>
      <c r="AD28" s="187"/>
    </row>
    <row r="29" spans="2:30" s="98" customFormat="1" ht="15">
      <c r="B29" s="124" t="s">
        <v>101</v>
      </c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</row>
    <row r="30" spans="2:30" s="98" customFormat="1" ht="15">
      <c r="B30" s="189"/>
      <c r="C30" s="189"/>
      <c r="D30" s="257" t="s">
        <v>145</v>
      </c>
      <c r="E30" s="257"/>
      <c r="F30" s="257"/>
      <c r="G30" s="257"/>
      <c r="H30" s="257"/>
      <c r="I30" s="257"/>
      <c r="J30" s="103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</row>
    <row r="31" spans="2:30" s="98" customFormat="1" ht="30.75" thickBot="1">
      <c r="B31" s="213"/>
      <c r="C31" s="90" t="s">
        <v>146</v>
      </c>
      <c r="D31" s="90" t="s">
        <v>147</v>
      </c>
      <c r="E31" s="90" t="s">
        <v>148</v>
      </c>
      <c r="F31" s="90" t="s">
        <v>149</v>
      </c>
      <c r="G31" s="90" t="s">
        <v>150</v>
      </c>
      <c r="H31" s="90" t="s">
        <v>151</v>
      </c>
      <c r="I31" s="90" t="s">
        <v>152</v>
      </c>
      <c r="J31" s="99" t="s">
        <v>153</v>
      </c>
      <c r="K31" s="175"/>
      <c r="L31" s="90" t="s">
        <v>154</v>
      </c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5"/>
      <c r="AC31" s="175"/>
      <c r="AD31" s="175"/>
    </row>
    <row r="32" spans="2:30" s="98" customFormat="1" thickTop="1">
      <c r="B32" s="258" t="s">
        <v>155</v>
      </c>
      <c r="C32" s="101" t="s">
        <v>156</v>
      </c>
      <c r="D32" s="214">
        <v>2733753.5154499998</v>
      </c>
      <c r="E32" s="214">
        <v>2236112.3622499998</v>
      </c>
      <c r="F32" s="214">
        <v>1318287.7586999999</v>
      </c>
      <c r="G32" s="214">
        <v>2387133.1918600001</v>
      </c>
      <c r="H32" s="214">
        <v>1722683.85412</v>
      </c>
      <c r="I32" s="214">
        <v>1369454.9173099999</v>
      </c>
      <c r="J32" s="215">
        <f>SUM(D32:I32)</f>
        <v>11767425.599689998</v>
      </c>
      <c r="K32" s="182"/>
      <c r="L32" s="182">
        <f>D32+E32</f>
        <v>4969865.8776999991</v>
      </c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</row>
    <row r="33" spans="2:30" s="98" customFormat="1" ht="15">
      <c r="B33" s="259"/>
      <c r="C33" s="88" t="s">
        <v>157</v>
      </c>
      <c r="D33" s="182">
        <v>13743616.1766</v>
      </c>
      <c r="E33" s="182">
        <v>8673933.2186099999</v>
      </c>
      <c r="F33" s="182">
        <v>4456922.9933000002</v>
      </c>
      <c r="G33" s="182">
        <v>11197821.806299999</v>
      </c>
      <c r="H33" s="182">
        <v>7416977.9045799999</v>
      </c>
      <c r="I33" s="182">
        <v>8479682.92282</v>
      </c>
      <c r="J33" s="216">
        <f t="shared" ref="J33:J43" si="6">SUM(D33:I33)</f>
        <v>53968955.022209994</v>
      </c>
      <c r="K33" s="182"/>
      <c r="L33" s="182">
        <f t="shared" ref="L33:L43" si="7">D33+E33</f>
        <v>22417549.395209998</v>
      </c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</row>
    <row r="34" spans="2:30" s="98" customFormat="1" ht="15">
      <c r="B34" s="259"/>
      <c r="C34" s="88" t="s">
        <v>158</v>
      </c>
      <c r="D34" s="182">
        <v>10933855.45466</v>
      </c>
      <c r="E34" s="182">
        <v>9130800.10506</v>
      </c>
      <c r="F34" s="182">
        <v>5234949.2638800004</v>
      </c>
      <c r="G34" s="182">
        <v>13306981.473379999</v>
      </c>
      <c r="H34" s="182">
        <v>8126551.39231</v>
      </c>
      <c r="I34" s="182">
        <v>10035012.394780001</v>
      </c>
      <c r="J34" s="216">
        <f t="shared" si="6"/>
        <v>56768150.084070005</v>
      </c>
      <c r="K34" s="182"/>
      <c r="L34" s="182">
        <f t="shared" si="7"/>
        <v>20064655.559720002</v>
      </c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</row>
    <row r="35" spans="2:30" s="98" customFormat="1" ht="15">
      <c r="B35" s="259"/>
      <c r="C35" s="88" t="s">
        <v>159</v>
      </c>
      <c r="D35" s="182">
        <v>13072021.09687</v>
      </c>
      <c r="E35" s="182">
        <v>9134613.2639700007</v>
      </c>
      <c r="F35" s="182">
        <v>4895264.5047599999</v>
      </c>
      <c r="G35" s="182">
        <v>13424478.13363</v>
      </c>
      <c r="H35" s="182">
        <v>8578482.6324499995</v>
      </c>
      <c r="I35" s="182">
        <v>10661442.01578</v>
      </c>
      <c r="J35" s="216">
        <f t="shared" si="6"/>
        <v>59766301.647459999</v>
      </c>
      <c r="K35" s="182"/>
      <c r="L35" s="182">
        <f t="shared" si="7"/>
        <v>22206634.36084</v>
      </c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</row>
    <row r="36" spans="2:30" s="98" customFormat="1" ht="15">
      <c r="B36" s="259"/>
      <c r="C36" s="88" t="s">
        <v>160</v>
      </c>
      <c r="D36" s="182">
        <v>10095583.213260001</v>
      </c>
      <c r="E36" s="182">
        <v>6460740.8001100002</v>
      </c>
      <c r="F36" s="182">
        <v>3476712.3975</v>
      </c>
      <c r="G36" s="182">
        <v>7734333.9613100002</v>
      </c>
      <c r="H36" s="182">
        <v>4944135.0758300005</v>
      </c>
      <c r="I36" s="182">
        <v>5073292.2999099996</v>
      </c>
      <c r="J36" s="216">
        <f t="shared" si="6"/>
        <v>37784797.747919999</v>
      </c>
      <c r="K36" s="182"/>
      <c r="L36" s="182">
        <f t="shared" si="7"/>
        <v>16556324.01337</v>
      </c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</row>
    <row r="37" spans="2:30" s="98" customFormat="1" ht="15">
      <c r="B37" s="260"/>
      <c r="C37" s="100" t="s">
        <v>161</v>
      </c>
      <c r="D37" s="217">
        <v>50578829.456840001</v>
      </c>
      <c r="E37" s="217">
        <v>35636199.75</v>
      </c>
      <c r="F37" s="217">
        <v>19382136.918140002</v>
      </c>
      <c r="G37" s="217">
        <v>48050748.566480003</v>
      </c>
      <c r="H37" s="217">
        <v>30788830.85929</v>
      </c>
      <c r="I37" s="217">
        <v>35618884.5506</v>
      </c>
      <c r="J37" s="218">
        <f t="shared" si="6"/>
        <v>220055630.10135001</v>
      </c>
      <c r="K37" s="182"/>
      <c r="L37" s="182">
        <f t="shared" si="7"/>
        <v>86215029.206840008</v>
      </c>
      <c r="M37" s="182"/>
      <c r="N37" s="182"/>
      <c r="O37" s="182"/>
      <c r="P37" s="223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</row>
    <row r="38" spans="2:30" s="98" customFormat="1" ht="15">
      <c r="B38" s="259" t="s">
        <v>162</v>
      </c>
      <c r="C38" s="88" t="s">
        <v>156</v>
      </c>
      <c r="D38" s="182">
        <v>49769.761460000002</v>
      </c>
      <c r="E38" s="182">
        <v>45024.544820000003</v>
      </c>
      <c r="F38" s="182">
        <v>27108.146659999999</v>
      </c>
      <c r="G38" s="182">
        <v>94094.703980000006</v>
      </c>
      <c r="H38" s="182">
        <v>95878.077619999996</v>
      </c>
      <c r="I38" s="182">
        <v>69321.510970000003</v>
      </c>
      <c r="J38" s="216">
        <f>SUM(D38:I38)</f>
        <v>381196.74550999998</v>
      </c>
      <c r="K38" s="182"/>
      <c r="L38" s="182">
        <f t="shared" si="7"/>
        <v>94794.306280000004</v>
      </c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</row>
    <row r="39" spans="2:30" s="98" customFormat="1" ht="15">
      <c r="B39" s="259"/>
      <c r="C39" s="88" t="s">
        <v>157</v>
      </c>
      <c r="D39" s="182">
        <v>306514.36655999999</v>
      </c>
      <c r="E39" s="182">
        <v>232775.87291999999</v>
      </c>
      <c r="F39" s="182">
        <v>125931.6781</v>
      </c>
      <c r="G39" s="182">
        <v>551685.40599999996</v>
      </c>
      <c r="H39" s="182">
        <v>589613.92683000001</v>
      </c>
      <c r="I39" s="182">
        <v>499675.62985000003</v>
      </c>
      <c r="J39" s="216">
        <f t="shared" si="6"/>
        <v>2306196.88026</v>
      </c>
      <c r="K39" s="182"/>
      <c r="L39" s="182">
        <f t="shared" si="7"/>
        <v>539290.23947999999</v>
      </c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</row>
    <row r="40" spans="2:30" s="98" customFormat="1" ht="15">
      <c r="B40" s="259"/>
      <c r="C40" s="88" t="s">
        <v>158</v>
      </c>
      <c r="D40" s="182">
        <v>204820.07237000001</v>
      </c>
      <c r="E40" s="182">
        <v>209587.81781000001</v>
      </c>
      <c r="F40" s="182">
        <v>126037.46885999999</v>
      </c>
      <c r="G40" s="182">
        <v>626424.55865000002</v>
      </c>
      <c r="H40" s="182">
        <v>661920.30227999995</v>
      </c>
      <c r="I40" s="182">
        <v>699374.05099000002</v>
      </c>
      <c r="J40" s="216">
        <f t="shared" si="6"/>
        <v>2528164.2709599999</v>
      </c>
      <c r="K40" s="182"/>
      <c r="L40" s="182">
        <f t="shared" si="7"/>
        <v>414407.89017999999</v>
      </c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</row>
    <row r="41" spans="2:30" s="98" customFormat="1" ht="15">
      <c r="B41" s="259"/>
      <c r="C41" s="88" t="s">
        <v>159</v>
      </c>
      <c r="D41" s="182">
        <v>282193.07705999998</v>
      </c>
      <c r="E41" s="182">
        <v>246925.21645000001</v>
      </c>
      <c r="F41" s="182">
        <v>152103.64976999999</v>
      </c>
      <c r="G41" s="182">
        <v>719409.62389000005</v>
      </c>
      <c r="H41" s="182">
        <v>883936.90275999997</v>
      </c>
      <c r="I41" s="182">
        <v>670010.75064999994</v>
      </c>
      <c r="J41" s="216">
        <f t="shared" si="6"/>
        <v>2954579.22058</v>
      </c>
      <c r="K41" s="182"/>
      <c r="L41" s="182">
        <f t="shared" si="7"/>
        <v>529118.29350999999</v>
      </c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</row>
    <row r="42" spans="2:30" s="98" customFormat="1" ht="15">
      <c r="B42" s="259"/>
      <c r="C42" s="88" t="s">
        <v>160</v>
      </c>
      <c r="D42" s="182">
        <v>184052.79676</v>
      </c>
      <c r="E42" s="182">
        <v>134443.20707999999</v>
      </c>
      <c r="F42" s="182">
        <v>72573.939140000002</v>
      </c>
      <c r="G42" s="182">
        <v>308402.78026999999</v>
      </c>
      <c r="H42" s="182">
        <v>197474.13492000001</v>
      </c>
      <c r="I42" s="182">
        <v>328354.76948000002</v>
      </c>
      <c r="J42" s="216">
        <f t="shared" si="6"/>
        <v>1225301.6276500002</v>
      </c>
      <c r="K42" s="182"/>
      <c r="L42" s="182">
        <f t="shared" si="7"/>
        <v>318496.00384000002</v>
      </c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</row>
    <row r="43" spans="2:30" s="98" customFormat="1" ht="15">
      <c r="B43" s="260"/>
      <c r="C43" s="100" t="s">
        <v>161</v>
      </c>
      <c r="D43" s="217">
        <v>1027350.07421</v>
      </c>
      <c r="E43" s="217">
        <v>868756.65908000001</v>
      </c>
      <c r="F43" s="217">
        <v>503754.88253</v>
      </c>
      <c r="G43" s="217">
        <v>2300017.0727900001</v>
      </c>
      <c r="H43" s="217">
        <v>2428823.3444099999</v>
      </c>
      <c r="I43" s="217">
        <v>2266736.7119399998</v>
      </c>
      <c r="J43" s="218">
        <f t="shared" si="6"/>
        <v>9395438.7449600007</v>
      </c>
      <c r="K43" s="182"/>
      <c r="L43" s="182">
        <f t="shared" si="7"/>
        <v>1896106.7332899999</v>
      </c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</row>
    <row r="44" spans="2:30" s="98" customFormat="1" ht="15">
      <c r="B44" s="259" t="s">
        <v>163</v>
      </c>
      <c r="C44" s="88" t="s">
        <v>156</v>
      </c>
      <c r="D44" s="219">
        <f>D32/D38</f>
        <v>54.928001164866338</v>
      </c>
      <c r="E44" s="219">
        <f t="shared" ref="E44:J44" si="8">E32/E38</f>
        <v>49.66429691159729</v>
      </c>
      <c r="F44" s="219">
        <f t="shared" si="8"/>
        <v>48.630685647175852</v>
      </c>
      <c r="G44" s="219">
        <f t="shared" si="8"/>
        <v>25.369474485698891</v>
      </c>
      <c r="H44" s="219">
        <f t="shared" si="8"/>
        <v>17.96744257793349</v>
      </c>
      <c r="I44" s="219">
        <f t="shared" si="8"/>
        <v>19.755122156853353</v>
      </c>
      <c r="J44" s="220">
        <f t="shared" si="8"/>
        <v>30.869690621168488</v>
      </c>
      <c r="K44" s="219"/>
      <c r="L44" s="219">
        <f>L32/L38</f>
        <v>52.427894382392424</v>
      </c>
      <c r="M44" s="219"/>
      <c r="N44" s="219"/>
      <c r="O44" s="219">
        <f>D32/D38</f>
        <v>54.928001164866338</v>
      </c>
      <c r="P44" s="219">
        <f t="shared" ref="P44:P49" si="9">E32/E38</f>
        <v>49.66429691159729</v>
      </c>
      <c r="Q44" s="219">
        <f t="shared" ref="Q44:Q49" si="10">F32/F38</f>
        <v>48.630685647175852</v>
      </c>
      <c r="R44" s="219">
        <f t="shared" ref="R44:R49" si="11">G32/G38</f>
        <v>25.369474485698891</v>
      </c>
      <c r="S44" s="219">
        <f t="shared" ref="S44:S49" si="12">H32/H38</f>
        <v>17.96744257793349</v>
      </c>
      <c r="T44" s="219">
        <f t="shared" ref="T44:T49" si="13">I32/I38</f>
        <v>19.755122156853353</v>
      </c>
      <c r="U44" s="219">
        <f t="shared" ref="U44:U49" si="14">J32/J38</f>
        <v>30.869690621168488</v>
      </c>
      <c r="V44" s="219"/>
      <c r="W44" s="219"/>
      <c r="X44" s="219"/>
      <c r="Y44" s="219"/>
      <c r="Z44" s="219"/>
      <c r="AA44" s="219"/>
      <c r="AB44" s="219"/>
      <c r="AC44" s="219"/>
      <c r="AD44" s="219"/>
    </row>
    <row r="45" spans="2:30" s="98" customFormat="1" ht="15">
      <c r="B45" s="259"/>
      <c r="C45" s="88" t="s">
        <v>157</v>
      </c>
      <c r="D45" s="219">
        <f t="shared" ref="D45:J49" si="15">D33/D39</f>
        <v>44.838407839880794</v>
      </c>
      <c r="E45" s="219">
        <f t="shared" si="15"/>
        <v>37.263025200172024</v>
      </c>
      <c r="F45" s="219">
        <f t="shared" si="15"/>
        <v>35.39159535189264</v>
      </c>
      <c r="G45" s="219">
        <f t="shared" si="15"/>
        <v>20.297476939783323</v>
      </c>
      <c r="H45" s="219">
        <f t="shared" si="15"/>
        <v>12.579380450622386</v>
      </c>
      <c r="I45" s="219">
        <f t="shared" si="15"/>
        <v>16.970375211946109</v>
      </c>
      <c r="J45" s="220">
        <f t="shared" si="15"/>
        <v>23.401711919810399</v>
      </c>
      <c r="K45" s="219"/>
      <c r="L45" s="219">
        <f t="shared" ref="L45:L49" si="16">L33/L39</f>
        <v>41.568616959998536</v>
      </c>
      <c r="M45" s="219"/>
      <c r="N45" s="219"/>
      <c r="O45" s="219">
        <f t="shared" ref="O45:O49" si="17">D33/D39</f>
        <v>44.838407839880794</v>
      </c>
      <c r="P45" s="219">
        <f t="shared" si="9"/>
        <v>37.263025200172024</v>
      </c>
      <c r="Q45" s="219">
        <f t="shared" si="10"/>
        <v>35.39159535189264</v>
      </c>
      <c r="R45" s="219">
        <f t="shared" si="11"/>
        <v>20.297476939783323</v>
      </c>
      <c r="S45" s="219">
        <f t="shared" si="12"/>
        <v>12.579380450622386</v>
      </c>
      <c r="T45" s="219">
        <f t="shared" si="13"/>
        <v>16.970375211946109</v>
      </c>
      <c r="U45" s="219">
        <f t="shared" si="14"/>
        <v>23.401711919810399</v>
      </c>
      <c r="V45" s="219"/>
      <c r="W45" s="219"/>
      <c r="X45" s="219"/>
      <c r="Y45" s="219"/>
      <c r="Z45" s="219"/>
      <c r="AA45" s="219"/>
      <c r="AB45" s="219"/>
      <c r="AC45" s="219"/>
      <c r="AD45" s="219"/>
    </row>
    <row r="46" spans="2:30" s="98" customFormat="1" ht="15">
      <c r="B46" s="259"/>
      <c r="C46" s="88" t="s">
        <v>158</v>
      </c>
      <c r="D46" s="219">
        <f t="shared" si="15"/>
        <v>53.38273406577256</v>
      </c>
      <c r="E46" s="219">
        <f t="shared" si="15"/>
        <v>43.565509677368013</v>
      </c>
      <c r="F46" s="219">
        <f t="shared" si="15"/>
        <v>41.534865078057713</v>
      </c>
      <c r="G46" s="219">
        <f t="shared" si="15"/>
        <v>21.242751883894389</v>
      </c>
      <c r="H46" s="219">
        <f t="shared" si="15"/>
        <v>12.277235438039751</v>
      </c>
      <c r="I46" s="219">
        <f t="shared" si="15"/>
        <v>14.348562661961683</v>
      </c>
      <c r="J46" s="220">
        <f t="shared" si="15"/>
        <v>22.454296477544112</v>
      </c>
      <c r="K46" s="219"/>
      <c r="L46" s="219">
        <f t="shared" si="16"/>
        <v>48.41764849362503</v>
      </c>
      <c r="M46" s="219"/>
      <c r="N46" s="219"/>
      <c r="O46" s="219">
        <f t="shared" si="17"/>
        <v>53.38273406577256</v>
      </c>
      <c r="P46" s="219">
        <f t="shared" si="9"/>
        <v>43.565509677368013</v>
      </c>
      <c r="Q46" s="219">
        <f t="shared" si="10"/>
        <v>41.534865078057713</v>
      </c>
      <c r="R46" s="219">
        <f t="shared" si="11"/>
        <v>21.242751883894389</v>
      </c>
      <c r="S46" s="219">
        <f t="shared" si="12"/>
        <v>12.277235438039751</v>
      </c>
      <c r="T46" s="219">
        <f t="shared" si="13"/>
        <v>14.348562661961683</v>
      </c>
      <c r="U46" s="219">
        <f t="shared" si="14"/>
        <v>22.454296477544112</v>
      </c>
      <c r="V46" s="219"/>
      <c r="W46" s="219"/>
      <c r="X46" s="219"/>
      <c r="Y46" s="219"/>
      <c r="Z46" s="219"/>
      <c r="AA46" s="219"/>
      <c r="AB46" s="219"/>
      <c r="AC46" s="219"/>
      <c r="AD46" s="219"/>
    </row>
    <row r="47" spans="2:30" s="98" customFormat="1" ht="15">
      <c r="B47" s="259"/>
      <c r="C47" s="88" t="s">
        <v>159</v>
      </c>
      <c r="D47" s="219">
        <f t="shared" si="15"/>
        <v>46.322968773931414</v>
      </c>
      <c r="E47" s="219">
        <f t="shared" si="15"/>
        <v>36.993440343180474</v>
      </c>
      <c r="F47" s="219">
        <f t="shared" si="15"/>
        <v>32.183741232786069</v>
      </c>
      <c r="G47" s="219">
        <f t="shared" si="15"/>
        <v>18.660409435504917</v>
      </c>
      <c r="H47" s="219">
        <f t="shared" si="15"/>
        <v>9.7048585771954876</v>
      </c>
      <c r="I47" s="219">
        <f t="shared" si="15"/>
        <v>15.912344698106676</v>
      </c>
      <c r="J47" s="220">
        <f t="shared" si="15"/>
        <v>20.228363223825674</v>
      </c>
      <c r="K47" s="219"/>
      <c r="L47" s="219">
        <f t="shared" si="16"/>
        <v>41.969129839621225</v>
      </c>
      <c r="M47" s="219"/>
      <c r="N47" s="219"/>
      <c r="O47" s="219">
        <f t="shared" si="17"/>
        <v>46.322968773931414</v>
      </c>
      <c r="P47" s="219">
        <f t="shared" si="9"/>
        <v>36.993440343180474</v>
      </c>
      <c r="Q47" s="219">
        <f t="shared" si="10"/>
        <v>32.183741232786069</v>
      </c>
      <c r="R47" s="219">
        <f t="shared" si="11"/>
        <v>18.660409435504917</v>
      </c>
      <c r="S47" s="219">
        <f t="shared" si="12"/>
        <v>9.7048585771954876</v>
      </c>
      <c r="T47" s="219">
        <f t="shared" si="13"/>
        <v>15.912344698106676</v>
      </c>
      <c r="U47" s="219">
        <f t="shared" si="14"/>
        <v>20.228363223825674</v>
      </c>
      <c r="V47" s="219"/>
      <c r="W47" s="219"/>
      <c r="X47" s="219"/>
      <c r="Y47" s="219"/>
      <c r="Z47" s="219"/>
      <c r="AA47" s="219"/>
      <c r="AB47" s="219"/>
      <c r="AC47" s="219"/>
      <c r="AD47" s="219"/>
    </row>
    <row r="48" spans="2:30" s="98" customFormat="1" ht="15">
      <c r="B48" s="259"/>
      <c r="C48" s="88" t="s">
        <v>160</v>
      </c>
      <c r="D48" s="219">
        <f t="shared" si="15"/>
        <v>54.851561024766035</v>
      </c>
      <c r="E48" s="219">
        <f t="shared" si="15"/>
        <v>48.055539141263992</v>
      </c>
      <c r="F48" s="219">
        <f t="shared" si="15"/>
        <v>47.90579702161665</v>
      </c>
      <c r="G48" s="219">
        <f t="shared" si="15"/>
        <v>25.07867780743986</v>
      </c>
      <c r="H48" s="219">
        <f t="shared" si="15"/>
        <v>25.036874210553954</v>
      </c>
      <c r="I48" s="219">
        <f t="shared" si="15"/>
        <v>15.450642937041341</v>
      </c>
      <c r="J48" s="220">
        <f t="shared" si="15"/>
        <v>30.837139929690025</v>
      </c>
      <c r="K48" s="219"/>
      <c r="L48" s="219">
        <f t="shared" si="16"/>
        <v>51.982831224743563</v>
      </c>
      <c r="M48" s="219"/>
      <c r="N48" s="219"/>
      <c r="O48" s="219">
        <f t="shared" si="17"/>
        <v>54.851561024766035</v>
      </c>
      <c r="P48" s="219">
        <f t="shared" si="9"/>
        <v>48.055539141263992</v>
      </c>
      <c r="Q48" s="219">
        <f t="shared" si="10"/>
        <v>47.90579702161665</v>
      </c>
      <c r="R48" s="219">
        <f t="shared" si="11"/>
        <v>25.07867780743986</v>
      </c>
      <c r="S48" s="219">
        <f t="shared" si="12"/>
        <v>25.036874210553954</v>
      </c>
      <c r="T48" s="219">
        <f t="shared" si="13"/>
        <v>15.450642937041341</v>
      </c>
      <c r="U48" s="219">
        <f t="shared" si="14"/>
        <v>30.837139929690025</v>
      </c>
      <c r="V48" s="219"/>
      <c r="W48" s="219"/>
      <c r="X48" s="219"/>
      <c r="Y48" s="219"/>
      <c r="Z48" s="219"/>
      <c r="AA48" s="219"/>
      <c r="AB48" s="219"/>
      <c r="AC48" s="219"/>
      <c r="AD48" s="219"/>
    </row>
    <row r="49" spans="2:30" s="98" customFormat="1" ht="15">
      <c r="B49" s="260"/>
      <c r="C49" s="100" t="s">
        <v>161</v>
      </c>
      <c r="D49" s="221">
        <f t="shared" si="15"/>
        <v>49.232321802024046</v>
      </c>
      <c r="E49" s="221">
        <f t="shared" si="15"/>
        <v>41.019771621363098</v>
      </c>
      <c r="F49" s="221">
        <f t="shared" si="15"/>
        <v>38.475333123914169</v>
      </c>
      <c r="G49" s="221">
        <f t="shared" si="15"/>
        <v>20.891474735095244</v>
      </c>
      <c r="H49" s="221">
        <f t="shared" si="15"/>
        <v>12.676438955575462</v>
      </c>
      <c r="I49" s="221">
        <f t="shared" si="15"/>
        <v>15.713728181565193</v>
      </c>
      <c r="J49" s="222">
        <f t="shared" si="15"/>
        <v>23.421538479977272</v>
      </c>
      <c r="K49" s="219"/>
      <c r="L49" s="219">
        <f t="shared" si="16"/>
        <v>45.469502161012507</v>
      </c>
      <c r="M49" s="219"/>
      <c r="N49" s="219"/>
      <c r="O49" s="219">
        <f t="shared" si="17"/>
        <v>49.232321802024046</v>
      </c>
      <c r="P49" s="219">
        <f t="shared" si="9"/>
        <v>41.019771621363098</v>
      </c>
      <c r="Q49" s="219">
        <f t="shared" si="10"/>
        <v>38.475333123914169</v>
      </c>
      <c r="R49" s="219">
        <f t="shared" si="11"/>
        <v>20.891474735095244</v>
      </c>
      <c r="S49" s="219">
        <f t="shared" si="12"/>
        <v>12.676438955575462</v>
      </c>
      <c r="T49" s="219">
        <f t="shared" si="13"/>
        <v>15.713728181565193</v>
      </c>
      <c r="U49" s="219">
        <f t="shared" si="14"/>
        <v>23.421538479977272</v>
      </c>
      <c r="V49" s="219"/>
      <c r="W49" s="219"/>
      <c r="X49" s="219"/>
      <c r="Y49" s="219"/>
      <c r="Z49" s="219"/>
      <c r="AA49" s="219"/>
      <c r="AB49" s="219"/>
      <c r="AC49" s="219"/>
      <c r="AD49" s="219"/>
    </row>
    <row r="50" spans="2:30" s="98" customFormat="1" ht="15"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</row>
    <row r="51" spans="2:30" s="98" customFormat="1" ht="15"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</row>
    <row r="52" spans="2:30" s="98" customFormat="1" ht="15">
      <c r="B52" s="124" t="s">
        <v>164</v>
      </c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</row>
    <row r="53" spans="2:30" s="98" customFormat="1" ht="15">
      <c r="B53" s="189"/>
      <c r="C53" s="189"/>
      <c r="D53" s="257" t="s">
        <v>145</v>
      </c>
      <c r="E53" s="257"/>
      <c r="F53" s="257"/>
      <c r="G53" s="257"/>
      <c r="H53" s="257"/>
      <c r="I53" s="257"/>
      <c r="J53" s="103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</row>
    <row r="54" spans="2:30" s="98" customFormat="1" ht="30.75" thickBot="1">
      <c r="B54" s="213"/>
      <c r="C54" s="90" t="s">
        <v>146</v>
      </c>
      <c r="D54" s="90" t="s">
        <v>147</v>
      </c>
      <c r="E54" s="90" t="s">
        <v>148</v>
      </c>
      <c r="F54" s="90" t="s">
        <v>149</v>
      </c>
      <c r="G54" s="90" t="s">
        <v>150</v>
      </c>
      <c r="H54" s="90" t="s">
        <v>151</v>
      </c>
      <c r="I54" s="90" t="s">
        <v>152</v>
      </c>
      <c r="J54" s="99" t="s">
        <v>153</v>
      </c>
      <c r="K54" s="175"/>
      <c r="L54" s="90" t="s">
        <v>154</v>
      </c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</row>
    <row r="55" spans="2:30" s="98" customFormat="1" thickTop="1">
      <c r="B55" s="258" t="s">
        <v>155</v>
      </c>
      <c r="C55" s="101" t="s">
        <v>156</v>
      </c>
      <c r="D55" s="224">
        <f>(D32-D9)/D9</f>
        <v>-0.19215321647458633</v>
      </c>
      <c r="E55" s="224">
        <f t="shared" ref="E55:J55" si="18">(E32-E9)/E9</f>
        <v>1.690869268652226</v>
      </c>
      <c r="F55" s="224">
        <f t="shared" si="18"/>
        <v>0.65198967255639084</v>
      </c>
      <c r="G55" s="224">
        <f t="shared" si="18"/>
        <v>1.1200117156838367</v>
      </c>
      <c r="H55" s="224">
        <f t="shared" si="18"/>
        <v>2.2750643614448669</v>
      </c>
      <c r="I55" s="224">
        <f t="shared" si="18"/>
        <v>1.2824248621833332</v>
      </c>
      <c r="J55" s="225">
        <f t="shared" si="18"/>
        <v>0.61974199582794187</v>
      </c>
      <c r="K55" s="226"/>
      <c r="L55" s="224">
        <f>(L32-L9)/L9</f>
        <v>0.17909036244365342</v>
      </c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  <c r="AB55" s="226"/>
      <c r="AC55" s="226"/>
      <c r="AD55" s="226"/>
    </row>
    <row r="56" spans="2:30" s="98" customFormat="1" ht="15">
      <c r="B56" s="259"/>
      <c r="C56" s="88" t="s">
        <v>157</v>
      </c>
      <c r="D56" s="226">
        <f t="shared" ref="D56:J56" si="19">(D33-D10)/D10</f>
        <v>-0.17747224988928123</v>
      </c>
      <c r="E56" s="226">
        <f t="shared" si="19"/>
        <v>1.7475239843554007</v>
      </c>
      <c r="F56" s="226">
        <f t="shared" si="19"/>
        <v>0.16095936267257105</v>
      </c>
      <c r="G56" s="226">
        <f t="shared" si="19"/>
        <v>-0.17553955188484763</v>
      </c>
      <c r="H56" s="226">
        <f t="shared" si="19"/>
        <v>0.75632912729812929</v>
      </c>
      <c r="I56" s="226">
        <f t="shared" si="19"/>
        <v>0.6901899387721746</v>
      </c>
      <c r="J56" s="227">
        <f t="shared" si="19"/>
        <v>0.15994916977690363</v>
      </c>
      <c r="K56" s="226"/>
      <c r="L56" s="226">
        <f t="shared" ref="L56" si="20">(L33-L10)/L10</f>
        <v>0.12843800438991232</v>
      </c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  <c r="AA56" s="226"/>
      <c r="AB56" s="226"/>
      <c r="AC56" s="226"/>
      <c r="AD56" s="226"/>
    </row>
    <row r="57" spans="2:30" s="98" customFormat="1" ht="15">
      <c r="B57" s="259"/>
      <c r="C57" s="88" t="s">
        <v>158</v>
      </c>
      <c r="D57" s="226">
        <f t="shared" ref="D57:J57" si="21">(D34-D11)/D11</f>
        <v>-0.26032637974157757</v>
      </c>
      <c r="E57" s="226">
        <f t="shared" si="21"/>
        <v>1.809476955403077</v>
      </c>
      <c r="F57" s="226">
        <f t="shared" si="21"/>
        <v>0.29481802223101666</v>
      </c>
      <c r="G57" s="226">
        <f t="shared" si="21"/>
        <v>-0.13534883213905138</v>
      </c>
      <c r="H57" s="226">
        <f t="shared" si="21"/>
        <v>0.83443598020541765</v>
      </c>
      <c r="I57" s="226">
        <f t="shared" si="21"/>
        <v>0.58380877442866175</v>
      </c>
      <c r="J57" s="227">
        <f t="shared" si="21"/>
        <v>0.17700545466753756</v>
      </c>
      <c r="K57" s="226"/>
      <c r="L57" s="226">
        <f t="shared" ref="L57" si="22">(L34-L11)/L11</f>
        <v>0.11272490903504892</v>
      </c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  <c r="AA57" s="226"/>
      <c r="AB57" s="226"/>
      <c r="AC57" s="226"/>
      <c r="AD57" s="226"/>
    </row>
    <row r="58" spans="2:30" s="98" customFormat="1" ht="15">
      <c r="B58" s="259"/>
      <c r="C58" s="88" t="s">
        <v>159</v>
      </c>
      <c r="D58" s="226">
        <f t="shared" ref="D58:J58" si="23">(D35-D12)/D12</f>
        <v>-0.21934779953000899</v>
      </c>
      <c r="E58" s="226">
        <f t="shared" si="23"/>
        <v>1.8617209473590228</v>
      </c>
      <c r="F58" s="226">
        <f t="shared" si="23"/>
        <v>0.16304692439059157</v>
      </c>
      <c r="G58" s="226">
        <f t="shared" si="23"/>
        <v>-0.14797676227278497</v>
      </c>
      <c r="H58" s="226">
        <f t="shared" si="23"/>
        <v>0.74041035350983964</v>
      </c>
      <c r="I58" s="226">
        <f t="shared" si="23"/>
        <v>0.70501231661282582</v>
      </c>
      <c r="J58" s="227">
        <f t="shared" si="23"/>
        <v>0.16996127256009708</v>
      </c>
      <c r="K58" s="226"/>
      <c r="L58" s="226">
        <f t="shared" ref="L58" si="24">(L35-L12)/L12</f>
        <v>0.11384031503435824</v>
      </c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  <c r="AA58" s="226"/>
      <c r="AB58" s="226"/>
      <c r="AC58" s="226"/>
      <c r="AD58" s="226"/>
    </row>
    <row r="59" spans="2:30" s="98" customFormat="1" ht="15">
      <c r="B59" s="259"/>
      <c r="C59" s="88" t="s">
        <v>160</v>
      </c>
      <c r="D59" s="226">
        <f t="shared" ref="D59:J59" si="25">(D36-D13)/D13</f>
        <v>-0.13712963989230764</v>
      </c>
      <c r="E59" s="226">
        <f t="shared" si="25"/>
        <v>2.225532101902147</v>
      </c>
      <c r="F59" s="226">
        <f t="shared" si="25"/>
        <v>0.21563370541958041</v>
      </c>
      <c r="G59" s="226">
        <f t="shared" si="25"/>
        <v>-0.21977867837082618</v>
      </c>
      <c r="H59" s="226">
        <f t="shared" si="25"/>
        <v>0.7926523117585208</v>
      </c>
      <c r="I59" s="226">
        <f t="shared" si="25"/>
        <v>0.38994309586575332</v>
      </c>
      <c r="J59" s="227">
        <f t="shared" si="25"/>
        <v>0.14903289587398125</v>
      </c>
      <c r="K59" s="226"/>
      <c r="L59" s="226">
        <f t="shared" ref="L59" si="26">(L36-L13)/L13</f>
        <v>0.20822622880901992</v>
      </c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</row>
    <row r="60" spans="2:30" s="98" customFormat="1" ht="15">
      <c r="B60" s="260"/>
      <c r="C60" s="100" t="s">
        <v>161</v>
      </c>
      <c r="D60" s="228">
        <f t="shared" ref="D60:J60" si="27">(D37-D14)/D14</f>
        <v>-0.2012187388370183</v>
      </c>
      <c r="E60" s="228">
        <f t="shared" si="27"/>
        <v>1.8662591289310706</v>
      </c>
      <c r="F60" s="228">
        <f t="shared" si="27"/>
        <v>0.23069000686646782</v>
      </c>
      <c r="G60" s="228">
        <f t="shared" si="27"/>
        <v>-0.14984521290728939</v>
      </c>
      <c r="H60" s="228">
        <f t="shared" si="27"/>
        <v>0.82549690853136493</v>
      </c>
      <c r="I60" s="228">
        <f t="shared" si="27"/>
        <v>0.62970738243960467</v>
      </c>
      <c r="J60" s="229">
        <f t="shared" si="27"/>
        <v>0.17838126044933175</v>
      </c>
      <c r="K60" s="226"/>
      <c r="L60" s="228">
        <f t="shared" ref="L60" si="28">(L37-L14)/L14</f>
        <v>0.13810712720077103</v>
      </c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  <c r="AA60" s="226"/>
      <c r="AB60" s="226"/>
      <c r="AC60" s="226"/>
      <c r="AD60" s="226"/>
    </row>
    <row r="61" spans="2:30" s="98" customFormat="1" ht="15">
      <c r="B61" s="259" t="s">
        <v>162</v>
      </c>
      <c r="C61" s="88" t="s">
        <v>156</v>
      </c>
      <c r="D61" s="226">
        <f t="shared" ref="D61:J61" si="29">(D38-D15)/D15</f>
        <v>-0.19726191193548384</v>
      </c>
      <c r="E61" s="226">
        <f t="shared" si="29"/>
        <v>2.0016363213333337</v>
      </c>
      <c r="F61" s="226">
        <f t="shared" si="29"/>
        <v>0.69425916624999995</v>
      </c>
      <c r="G61" s="226">
        <f t="shared" si="29"/>
        <v>0.49356672984126992</v>
      </c>
      <c r="H61" s="226">
        <f t="shared" si="29"/>
        <v>3.7939038809999999</v>
      </c>
      <c r="I61" s="226">
        <f t="shared" si="29"/>
        <v>1.3107170323333335</v>
      </c>
      <c r="J61" s="227">
        <f t="shared" si="29"/>
        <v>0.85046963839805811</v>
      </c>
      <c r="K61" s="226"/>
      <c r="L61" s="226">
        <f t="shared" ref="L61" si="30">(L38-L15)/L15</f>
        <v>0.2310948867532468</v>
      </c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</row>
    <row r="62" spans="2:30" s="98" customFormat="1" ht="15">
      <c r="B62" s="259"/>
      <c r="C62" s="88" t="s">
        <v>157</v>
      </c>
      <c r="D62" s="226">
        <f t="shared" ref="D62:J62" si="31">(D39-D16)/D16</f>
        <v>-0.1532752304972376</v>
      </c>
      <c r="E62" s="226">
        <f t="shared" si="31"/>
        <v>2.7544495632258061</v>
      </c>
      <c r="F62" s="226">
        <f t="shared" si="31"/>
        <v>0.32559661157894743</v>
      </c>
      <c r="G62" s="226">
        <f t="shared" si="31"/>
        <v>4.8914499089252441E-3</v>
      </c>
      <c r="H62" s="226">
        <f t="shared" si="31"/>
        <v>1.8483764581159421</v>
      </c>
      <c r="I62" s="226">
        <f t="shared" si="31"/>
        <v>0.86446130541044786</v>
      </c>
      <c r="J62" s="227">
        <f t="shared" si="31"/>
        <v>0.49461884657161376</v>
      </c>
      <c r="K62" s="226"/>
      <c r="L62" s="226">
        <f t="shared" ref="L62" si="32">(L39-L16)/L16</f>
        <v>0.27191094216981132</v>
      </c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</row>
    <row r="63" spans="2:30" s="98" customFormat="1" ht="15">
      <c r="B63" s="259"/>
      <c r="C63" s="88" t="s">
        <v>158</v>
      </c>
      <c r="D63" s="226">
        <f t="shared" ref="D63:J63" si="33">(D40-D17)/D17</f>
        <v>-0.25248148770072987</v>
      </c>
      <c r="E63" s="226">
        <f t="shared" si="33"/>
        <v>2.380448674354839</v>
      </c>
      <c r="F63" s="226">
        <f t="shared" si="33"/>
        <v>0.38502713032967029</v>
      </c>
      <c r="G63" s="226">
        <f t="shared" si="33"/>
        <v>6.5347888860544254E-2</v>
      </c>
      <c r="H63" s="226">
        <f t="shared" si="33"/>
        <v>2.27683317960396</v>
      </c>
      <c r="I63" s="226">
        <f t="shared" si="33"/>
        <v>1.145319174815951</v>
      </c>
      <c r="J63" s="227">
        <f t="shared" si="33"/>
        <v>0.63847327994815284</v>
      </c>
      <c r="K63" s="226"/>
      <c r="L63" s="226">
        <f t="shared" ref="L63" si="34">(L40-L17)/L17</f>
        <v>0.23335681601190472</v>
      </c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  <c r="AA63" s="226"/>
      <c r="AB63" s="226"/>
      <c r="AC63" s="226"/>
      <c r="AD63" s="226"/>
    </row>
    <row r="64" spans="2:30" s="98" customFormat="1" ht="15">
      <c r="B64" s="259"/>
      <c r="C64" s="88" t="s">
        <v>159</v>
      </c>
      <c r="D64" s="226">
        <f t="shared" ref="D64:J64" si="35">(D41-D18)/D18</f>
        <v>-0.18441307208092492</v>
      </c>
      <c r="E64" s="226">
        <f t="shared" si="35"/>
        <v>2.8582065070312499</v>
      </c>
      <c r="F64" s="226">
        <f t="shared" si="35"/>
        <v>0.39544632816513753</v>
      </c>
      <c r="G64" s="226">
        <f t="shared" si="35"/>
        <v>8.3448228750000075E-2</v>
      </c>
      <c r="H64" s="226">
        <f t="shared" si="35"/>
        <v>2.4800665462992124</v>
      </c>
      <c r="I64" s="226">
        <f t="shared" si="35"/>
        <v>1.0427157032012193</v>
      </c>
      <c r="J64" s="227">
        <f t="shared" si="35"/>
        <v>0.67398256123512745</v>
      </c>
      <c r="K64" s="226"/>
      <c r="L64" s="226">
        <f t="shared" ref="L64" si="36">(L41-L18)/L18</f>
        <v>0.2905324231951219</v>
      </c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  <c r="AA64" s="226"/>
      <c r="AB64" s="226"/>
      <c r="AC64" s="226"/>
      <c r="AD64" s="226"/>
    </row>
    <row r="65" spans="2:30" s="98" customFormat="1" ht="15">
      <c r="B65" s="259"/>
      <c r="C65" s="88" t="s">
        <v>160</v>
      </c>
      <c r="D65" s="226">
        <f t="shared" ref="D65:J65" si="37">(D42-D19)/D19</f>
        <v>-0.13590236262910799</v>
      </c>
      <c r="E65" s="226">
        <f t="shared" si="37"/>
        <v>2.6336001913513511</v>
      </c>
      <c r="F65" s="226">
        <f t="shared" si="37"/>
        <v>0.20956565233333338</v>
      </c>
      <c r="G65" s="226">
        <f t="shared" si="37"/>
        <v>-7.9394685761194059E-2</v>
      </c>
      <c r="H65" s="226">
        <f t="shared" si="37"/>
        <v>0.7790462605405406</v>
      </c>
      <c r="I65" s="226">
        <f t="shared" si="37"/>
        <v>0.78453679065217397</v>
      </c>
      <c r="J65" s="227">
        <f t="shared" si="37"/>
        <v>0.30351236984042568</v>
      </c>
      <c r="K65" s="226"/>
      <c r="L65" s="226">
        <f t="shared" ref="L65" si="38">(L42-L19)/L19</f>
        <v>0.27398401536000005</v>
      </c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  <c r="AA65" s="226"/>
      <c r="AB65" s="226"/>
      <c r="AC65" s="226"/>
      <c r="AD65" s="226"/>
    </row>
    <row r="66" spans="2:30" s="98" customFormat="1" ht="15">
      <c r="B66" s="260"/>
      <c r="C66" s="100" t="s">
        <v>161</v>
      </c>
      <c r="D66" s="228">
        <f t="shared" ref="D66:J66" si="39">(D43-D20)/D20</f>
        <v>-0.18269683833731107</v>
      </c>
      <c r="E66" s="228">
        <f t="shared" si="39"/>
        <v>2.6198194128333334</v>
      </c>
      <c r="F66" s="228">
        <f t="shared" si="39"/>
        <v>0.35782987204851752</v>
      </c>
      <c r="G66" s="228">
        <f t="shared" si="39"/>
        <v>4.5937732055479817E-2</v>
      </c>
      <c r="H66" s="228">
        <f t="shared" si="39"/>
        <v>2.058971466511335</v>
      </c>
      <c r="I66" s="228">
        <f t="shared" si="39"/>
        <v>0.99536682389084497</v>
      </c>
      <c r="J66" s="229">
        <f t="shared" si="39"/>
        <v>0.56668980239453071</v>
      </c>
      <c r="K66" s="226"/>
      <c r="L66" s="228">
        <f t="shared" ref="L66" si="40">(L43-L20)/L20</f>
        <v>0.26660436425517692</v>
      </c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  <c r="AA66" s="226"/>
      <c r="AB66" s="226"/>
      <c r="AC66" s="226"/>
      <c r="AD66" s="226"/>
    </row>
    <row r="67" spans="2:30" s="98" customFormat="1" ht="15">
      <c r="B67" s="259" t="s">
        <v>163</v>
      </c>
      <c r="C67" s="88" t="s">
        <v>156</v>
      </c>
      <c r="D67" s="226">
        <f t="shared" ref="D67:J67" si="41">(D44-D21)/D21</f>
        <v>-2.6141504854111473E-4</v>
      </c>
      <c r="E67" s="226">
        <f t="shared" si="41"/>
        <v>-8.2826319626061157E-2</v>
      </c>
      <c r="F67" s="226">
        <f t="shared" si="41"/>
        <v>3.7860503283410063E-3</v>
      </c>
      <c r="G67" s="226">
        <f t="shared" si="41"/>
        <v>-0.15554793378671825</v>
      </c>
      <c r="H67" s="226">
        <f t="shared" si="41"/>
        <v>-0.30021555930446198</v>
      </c>
      <c r="I67" s="226">
        <f t="shared" si="41"/>
        <v>-1.5196851190031517E-3</v>
      </c>
      <c r="J67" s="227">
        <f t="shared" si="41"/>
        <v>-0.20397093190790577</v>
      </c>
      <c r="K67" s="226"/>
      <c r="L67" s="226">
        <f t="shared" ref="L67" si="42">(L44-L21)/L21</f>
        <v>-4.224249882699483E-2</v>
      </c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  <c r="AA67" s="226"/>
      <c r="AB67" s="226"/>
      <c r="AC67" s="226"/>
      <c r="AD67" s="226"/>
    </row>
    <row r="68" spans="2:30" s="98" customFormat="1" ht="15">
      <c r="B68" s="259"/>
      <c r="C68" s="88" t="s">
        <v>157</v>
      </c>
      <c r="D68" s="226">
        <f t="shared" ref="D68:J68" si="43">(D45-D22)/D22</f>
        <v>-2.7882944270830958E-2</v>
      </c>
      <c r="E68" s="226">
        <f t="shared" si="43"/>
        <v>-0.26812597602508548</v>
      </c>
      <c r="F68" s="226">
        <f t="shared" si="43"/>
        <v>-0.12369169735374951</v>
      </c>
      <c r="G68" s="226">
        <f t="shared" si="43"/>
        <v>-0.17924432778074109</v>
      </c>
      <c r="H68" s="226">
        <f t="shared" si="43"/>
        <v>-0.38205571111609904</v>
      </c>
      <c r="I68" s="226">
        <f t="shared" si="43"/>
        <v>-9.4242502648175797E-2</v>
      </c>
      <c r="J68" s="227">
        <f t="shared" si="43"/>
        <v>-0.22354265059365228</v>
      </c>
      <c r="K68" s="226"/>
      <c r="L68" s="226">
        <f t="shared" ref="L68" si="44">(L45-L22)/L22</f>
        <v>-0.1128010877358613</v>
      </c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  <c r="AA68" s="226"/>
      <c r="AB68" s="226"/>
      <c r="AC68" s="226"/>
      <c r="AD68" s="226"/>
    </row>
    <row r="69" spans="2:30" s="98" customFormat="1" ht="15">
      <c r="B69" s="259"/>
      <c r="C69" s="88" t="s">
        <v>158</v>
      </c>
      <c r="D69" s="226">
        <f t="shared" ref="D69:J69" si="45">(D46-D23)/D23</f>
        <v>-1.2037147225930432E-2</v>
      </c>
      <c r="E69" s="226">
        <f t="shared" si="45"/>
        <v>-0.17181941084206331</v>
      </c>
      <c r="F69" s="226">
        <f t="shared" si="45"/>
        <v>-6.2351520276315985E-2</v>
      </c>
      <c r="G69" s="226">
        <f t="shared" si="45"/>
        <v>-0.18799582153409686</v>
      </c>
      <c r="H69" s="226">
        <f t="shared" si="45"/>
        <v>-0.44124880959236357</v>
      </c>
      <c r="I69" s="226">
        <f t="shared" si="45"/>
        <v>-0.26207471561812662</v>
      </c>
      <c r="J69" s="227">
        <f t="shared" si="45"/>
        <v>-0.2819359402446584</v>
      </c>
      <c r="K69" s="226"/>
      <c r="L69" s="226">
        <f t="shared" ref="L69" si="46">(L46-L23)/L23</f>
        <v>-9.7807792044254049E-2</v>
      </c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6"/>
      <c r="AB69" s="226"/>
      <c r="AC69" s="226"/>
      <c r="AD69" s="226"/>
    </row>
    <row r="70" spans="2:30" s="98" customFormat="1" ht="15">
      <c r="B70" s="259"/>
      <c r="C70" s="88" t="s">
        <v>159</v>
      </c>
      <c r="D70" s="226">
        <f t="shared" ref="D70:J70" si="47">(D47-D24)/D24</f>
        <v>-4.3459612690082514E-2</v>
      </c>
      <c r="E70" s="226">
        <f t="shared" si="47"/>
        <v>-0.25476782168498702</v>
      </c>
      <c r="F70" s="226">
        <f t="shared" si="47"/>
        <v>-0.16706829272265297</v>
      </c>
      <c r="G70" s="226">
        <f t="shared" si="47"/>
        <v>-0.21327103351446003</v>
      </c>
      <c r="H70" s="226">
        <f t="shared" si="47"/>
        <v>-0.49948959542917859</v>
      </c>
      <c r="I70" s="226">
        <f t="shared" si="47"/>
        <v>-0.1650503673811978</v>
      </c>
      <c r="J70" s="227">
        <f t="shared" si="47"/>
        <v>-0.30085919182460591</v>
      </c>
      <c r="K70" s="226"/>
      <c r="L70" s="226">
        <f t="shared" ref="L70" si="48">(L47-L24)/L24</f>
        <v>-0.1369141177587048</v>
      </c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  <c r="AA70" s="226"/>
      <c r="AB70" s="226"/>
      <c r="AC70" s="226"/>
      <c r="AD70" s="226"/>
    </row>
    <row r="71" spans="2:30" s="98" customFormat="1" ht="15">
      <c r="B71" s="259"/>
      <c r="C71" s="88" t="s">
        <v>160</v>
      </c>
      <c r="D71" s="226">
        <f t="shared" ref="D71:J71" si="49">(D48-D25)/D25</f>
        <v>-8.0346270716913576E-4</v>
      </c>
      <c r="E71" s="226">
        <f t="shared" si="49"/>
        <v>-0.1036597123455283</v>
      </c>
      <c r="F71" s="226">
        <f t="shared" si="49"/>
        <v>5.5910862717473532E-3</v>
      </c>
      <c r="G71" s="226">
        <f t="shared" si="49"/>
        <v>-0.15120969042863081</v>
      </c>
      <c r="H71" s="226">
        <f t="shared" si="49"/>
        <v>1.0620796517185137E-2</v>
      </c>
      <c r="I71" s="226">
        <f t="shared" si="49"/>
        <v>-0.219560968088192</v>
      </c>
      <c r="J71" s="227">
        <f t="shared" si="49"/>
        <v>-0.11688042800026531</v>
      </c>
      <c r="K71" s="226"/>
      <c r="L71" s="226">
        <f t="shared" ref="L71" si="50">(L48-L25)/L25</f>
        <v>-5.1615864687594583E-2</v>
      </c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  <c r="AA71" s="226"/>
      <c r="AB71" s="226"/>
      <c r="AC71" s="226"/>
      <c r="AD71" s="226"/>
    </row>
    <row r="72" spans="2:30" s="98" customFormat="1" ht="15">
      <c r="B72" s="260"/>
      <c r="C72" s="100" t="s">
        <v>161</v>
      </c>
      <c r="D72" s="228">
        <f>(D49-D26)/D26</f>
        <v>-2.3184005831007604E-2</v>
      </c>
      <c r="E72" s="228">
        <f t="shared" ref="E72:J72" si="51">(E49-E26)/E26</f>
        <v>-0.20554507552853551</v>
      </c>
      <c r="F72" s="228">
        <f t="shared" si="51"/>
        <v>-9.1772473592372145E-2</v>
      </c>
      <c r="G72" s="228">
        <f t="shared" si="51"/>
        <v>-0.18688086174252391</v>
      </c>
      <c r="H72" s="228">
        <f t="shared" si="51"/>
        <v>-0.40241954168789751</v>
      </c>
      <c r="I72" s="228">
        <f t="shared" si="51"/>
        <v>-0.18295121621020449</v>
      </c>
      <c r="J72" s="229">
        <f t="shared" si="51"/>
        <v>-0.24745232115359633</v>
      </c>
      <c r="K72" s="226"/>
      <c r="L72" s="228">
        <f t="shared" ref="L72" si="52">(L49-L26)/L26</f>
        <v>-0.10145017708822456</v>
      </c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  <c r="AA72" s="226"/>
      <c r="AB72" s="226"/>
      <c r="AC72" s="226"/>
      <c r="AD72" s="226"/>
    </row>
    <row r="73" spans="2:30" s="98" customFormat="1" ht="15"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</row>
    <row r="74" spans="2:30" s="98" customFormat="1" ht="15"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  <c r="AB74" s="187"/>
      <c r="AC74" s="187"/>
      <c r="AD74" s="187"/>
    </row>
    <row r="75" spans="2:30" s="98" customFormat="1" ht="15"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</row>
    <row r="77" spans="2:30" ht="18.75">
      <c r="B77" s="1" t="s">
        <v>165</v>
      </c>
    </row>
    <row r="78" spans="2:30" ht="18.75">
      <c r="B78" s="1" t="s">
        <v>1</v>
      </c>
    </row>
    <row r="79" spans="2:30" ht="18.75">
      <c r="B79" s="1" t="s">
        <v>62</v>
      </c>
    </row>
    <row r="80" spans="2:30">
      <c r="B80" s="187" t="s">
        <v>144</v>
      </c>
      <c r="C80" s="187"/>
      <c r="D80" s="187"/>
      <c r="E80" s="187"/>
      <c r="F80" s="187"/>
      <c r="G80" s="187"/>
      <c r="H80" s="187"/>
      <c r="I80" s="187"/>
    </row>
    <row r="81" spans="2:9">
      <c r="B81" s="187"/>
      <c r="C81" s="187"/>
      <c r="D81" s="187"/>
      <c r="E81" s="187"/>
      <c r="F81" s="187"/>
      <c r="G81" s="187"/>
      <c r="H81" s="187"/>
      <c r="I81" s="187"/>
    </row>
    <row r="82" spans="2:9">
      <c r="B82" s="189"/>
      <c r="C82" s="189"/>
      <c r="D82" s="254" t="s">
        <v>146</v>
      </c>
      <c r="E82" s="254"/>
      <c r="F82" s="254"/>
      <c r="G82" s="254"/>
      <c r="H82" s="254"/>
      <c r="I82" s="103"/>
    </row>
    <row r="83" spans="2:9" ht="45.75" thickBot="1">
      <c r="B83" s="230" t="s">
        <v>166</v>
      </c>
      <c r="C83" s="213" t="s">
        <v>167</v>
      </c>
      <c r="D83" s="90" t="s">
        <v>156</v>
      </c>
      <c r="E83" s="90" t="s">
        <v>157</v>
      </c>
      <c r="F83" s="90" t="s">
        <v>158</v>
      </c>
      <c r="G83" s="90" t="s">
        <v>159</v>
      </c>
      <c r="H83" s="90" t="s">
        <v>160</v>
      </c>
      <c r="I83" s="99" t="s">
        <v>161</v>
      </c>
    </row>
    <row r="84" spans="2:9" ht="16.5" thickTop="1">
      <c r="B84" s="231" t="s">
        <v>168</v>
      </c>
      <c r="C84" s="187" t="s">
        <v>169</v>
      </c>
      <c r="D84" s="182">
        <v>6800</v>
      </c>
      <c r="E84" s="182">
        <v>36900</v>
      </c>
      <c r="F84" s="182">
        <v>20000</v>
      </c>
      <c r="G84" s="182">
        <v>22600</v>
      </c>
      <c r="H84" s="182">
        <v>22000</v>
      </c>
      <c r="I84" s="216">
        <f>SUM(D84:H84)</f>
        <v>108300</v>
      </c>
    </row>
    <row r="85" spans="2:9">
      <c r="B85" s="231" t="s">
        <v>170</v>
      </c>
      <c r="C85" s="187" t="s">
        <v>171</v>
      </c>
      <c r="D85" s="182">
        <v>5100</v>
      </c>
      <c r="E85" s="182">
        <v>30500</v>
      </c>
      <c r="F85" s="182">
        <v>20800</v>
      </c>
      <c r="G85" s="182">
        <v>28100</v>
      </c>
      <c r="H85" s="182">
        <v>33800</v>
      </c>
      <c r="I85" s="216">
        <f t="shared" ref="I85:I90" si="53">SUM(D85:H85)</f>
        <v>118300</v>
      </c>
    </row>
    <row r="86" spans="2:9">
      <c r="B86" s="231" t="s">
        <v>172</v>
      </c>
      <c r="C86" s="187" t="s">
        <v>173</v>
      </c>
      <c r="D86" s="182">
        <v>3300</v>
      </c>
      <c r="E86" s="182">
        <v>25300</v>
      </c>
      <c r="F86" s="182">
        <v>15900</v>
      </c>
      <c r="G86" s="182">
        <v>13100</v>
      </c>
      <c r="H86" s="182">
        <v>8900</v>
      </c>
      <c r="I86" s="216">
        <f t="shared" si="53"/>
        <v>66500</v>
      </c>
    </row>
    <row r="87" spans="2:9">
      <c r="B87" s="231" t="s">
        <v>174</v>
      </c>
      <c r="C87" s="187" t="s">
        <v>175</v>
      </c>
      <c r="D87" s="182">
        <v>2000</v>
      </c>
      <c r="E87" s="182">
        <v>12700</v>
      </c>
      <c r="F87" s="182">
        <v>16600</v>
      </c>
      <c r="G87" s="182">
        <v>22500</v>
      </c>
      <c r="H87" s="182">
        <v>21100</v>
      </c>
      <c r="I87" s="216">
        <f t="shared" si="53"/>
        <v>74900</v>
      </c>
    </row>
    <row r="88" spans="2:9">
      <c r="B88" s="231" t="s">
        <v>176</v>
      </c>
      <c r="C88" s="187" t="s">
        <v>177</v>
      </c>
      <c r="D88" s="182">
        <v>3900</v>
      </c>
      <c r="E88" s="182">
        <v>26100</v>
      </c>
      <c r="F88" s="182">
        <v>20000</v>
      </c>
      <c r="G88" s="182">
        <v>24400</v>
      </c>
      <c r="H88" s="182">
        <v>19700</v>
      </c>
      <c r="I88" s="216">
        <f t="shared" si="53"/>
        <v>94100</v>
      </c>
    </row>
    <row r="89" spans="2:9">
      <c r="B89" s="231" t="s">
        <v>178</v>
      </c>
      <c r="C89" s="187" t="s">
        <v>179</v>
      </c>
      <c r="D89" s="182">
        <v>2600</v>
      </c>
      <c r="E89" s="182">
        <v>22300</v>
      </c>
      <c r="F89" s="182">
        <v>20700</v>
      </c>
      <c r="G89" s="182">
        <v>24400</v>
      </c>
      <c r="H89" s="182">
        <v>18100</v>
      </c>
      <c r="I89" s="216">
        <f t="shared" si="53"/>
        <v>88100</v>
      </c>
    </row>
    <row r="90" spans="2:9">
      <c r="B90" s="231" t="s">
        <v>172</v>
      </c>
      <c r="C90" s="187" t="s">
        <v>180</v>
      </c>
      <c r="D90" s="182">
        <v>4300</v>
      </c>
      <c r="E90" s="182">
        <v>26500</v>
      </c>
      <c r="F90" s="182">
        <v>18300</v>
      </c>
      <c r="G90" s="182">
        <v>18200</v>
      </c>
      <c r="H90" s="182">
        <v>15300</v>
      </c>
      <c r="I90" s="216">
        <f t="shared" si="53"/>
        <v>82600</v>
      </c>
    </row>
    <row r="91" spans="2:9">
      <c r="B91" s="231" t="s">
        <v>174</v>
      </c>
      <c r="C91" s="187" t="s">
        <v>181</v>
      </c>
      <c r="D91" s="182">
        <v>3100</v>
      </c>
      <c r="E91" s="182">
        <v>21200</v>
      </c>
      <c r="F91" s="182">
        <v>17100</v>
      </c>
      <c r="G91" s="182">
        <v>21200</v>
      </c>
      <c r="H91" s="182">
        <v>15500</v>
      </c>
      <c r="I91" s="216">
        <f>SUM(D91:H91)</f>
        <v>78100</v>
      </c>
    </row>
    <row r="92" spans="2:9">
      <c r="B92" s="231" t="s">
        <v>182</v>
      </c>
      <c r="C92" s="187" t="s">
        <v>183</v>
      </c>
      <c r="D92" s="182">
        <v>100</v>
      </c>
      <c r="E92" s="182">
        <v>2400</v>
      </c>
      <c r="F92" s="182">
        <v>5300</v>
      </c>
      <c r="G92" s="182">
        <v>5600</v>
      </c>
      <c r="H92" s="182">
        <v>3300</v>
      </c>
      <c r="I92" s="216">
        <f>SUM(D92:H92)</f>
        <v>16700</v>
      </c>
    </row>
    <row r="93" spans="2:9">
      <c r="B93" s="231" t="s">
        <v>184</v>
      </c>
      <c r="C93" s="187" t="s">
        <v>185</v>
      </c>
      <c r="D93" s="182">
        <v>900</v>
      </c>
      <c r="E93" s="182">
        <v>11100</v>
      </c>
      <c r="F93" s="182">
        <v>7900</v>
      </c>
      <c r="G93" s="182">
        <v>7300</v>
      </c>
      <c r="H93" s="182">
        <v>3500</v>
      </c>
      <c r="I93" s="216">
        <f>SUM(D93:H93)</f>
        <v>30700</v>
      </c>
    </row>
    <row r="94" spans="2:9">
      <c r="B94" s="122" t="s">
        <v>186</v>
      </c>
      <c r="C94" s="192"/>
      <c r="D94" s="192"/>
      <c r="E94" s="192"/>
      <c r="F94" s="192"/>
      <c r="G94" s="192"/>
      <c r="H94" s="192"/>
      <c r="I94" s="192"/>
    </row>
    <row r="97" spans="2:9">
      <c r="B97" s="125" t="s">
        <v>101</v>
      </c>
    </row>
    <row r="98" spans="2:9">
      <c r="B98" s="189"/>
      <c r="C98" s="189"/>
      <c r="D98" s="254" t="s">
        <v>146</v>
      </c>
      <c r="E98" s="254"/>
      <c r="F98" s="254"/>
      <c r="G98" s="254"/>
      <c r="H98" s="254"/>
      <c r="I98" s="103"/>
    </row>
    <row r="99" spans="2:9" ht="45.75" thickBot="1">
      <c r="B99" s="230" t="s">
        <v>166</v>
      </c>
      <c r="C99" s="213" t="s">
        <v>167</v>
      </c>
      <c r="D99" s="90" t="s">
        <v>156</v>
      </c>
      <c r="E99" s="90" t="s">
        <v>157</v>
      </c>
      <c r="F99" s="90" t="s">
        <v>158</v>
      </c>
      <c r="G99" s="90" t="s">
        <v>159</v>
      </c>
      <c r="H99" s="90" t="s">
        <v>160</v>
      </c>
      <c r="I99" s="99" t="s">
        <v>161</v>
      </c>
    </row>
    <row r="100" spans="2:9" ht="16.5" thickTop="1">
      <c r="B100" s="231" t="s">
        <v>168</v>
      </c>
      <c r="C100" s="187" t="s">
        <v>169</v>
      </c>
      <c r="D100" s="182">
        <v>43246.257810000003</v>
      </c>
      <c r="E100" s="182">
        <v>12528.958979999999</v>
      </c>
      <c r="F100" s="182">
        <v>28782.320309999999</v>
      </c>
      <c r="G100" s="182">
        <v>37702.617189999997</v>
      </c>
      <c r="H100" s="182">
        <v>31486.152340000001</v>
      </c>
      <c r="I100" s="216">
        <f>SUM(D100:H100)</f>
        <v>153746.30663000001</v>
      </c>
    </row>
    <row r="101" spans="2:9">
      <c r="B101" s="231" t="s">
        <v>170</v>
      </c>
      <c r="C101" s="187" t="s">
        <v>171</v>
      </c>
      <c r="D101" s="182">
        <v>37038.15625</v>
      </c>
      <c r="E101" s="182">
        <v>7496.9160199999997</v>
      </c>
      <c r="F101" s="182">
        <v>40589.992189999997</v>
      </c>
      <c r="G101" s="182">
        <v>35553.925779999998</v>
      </c>
      <c r="H101" s="182">
        <v>41196.105470000002</v>
      </c>
      <c r="I101" s="216">
        <f t="shared" ref="I101:I109" si="54">SUM(D101:H101)</f>
        <v>161875.09570999999</v>
      </c>
    </row>
    <row r="102" spans="2:9">
      <c r="B102" s="231" t="s">
        <v>172</v>
      </c>
      <c r="C102" s="187" t="s">
        <v>173</v>
      </c>
      <c r="D102" s="182">
        <v>31885.859380000002</v>
      </c>
      <c r="E102" s="182">
        <v>3869.7168000000001</v>
      </c>
      <c r="F102" s="182">
        <v>10042.619140000001</v>
      </c>
      <c r="G102" s="182">
        <v>20196.41992</v>
      </c>
      <c r="H102" s="182">
        <v>19145.515630000002</v>
      </c>
      <c r="I102" s="216">
        <f t="shared" si="54"/>
        <v>85140.130870000023</v>
      </c>
    </row>
    <row r="103" spans="2:9">
      <c r="B103" s="231" t="s">
        <v>174</v>
      </c>
      <c r="C103" s="187" t="s">
        <v>175</v>
      </c>
      <c r="D103" s="182">
        <v>16224.2832</v>
      </c>
      <c r="E103" s="182">
        <v>2748.04736</v>
      </c>
      <c r="F103" s="182">
        <v>24184.058590000001</v>
      </c>
      <c r="G103" s="182">
        <v>22916.929690000001</v>
      </c>
      <c r="H103" s="182">
        <v>30482.53125</v>
      </c>
      <c r="I103" s="216">
        <f t="shared" si="54"/>
        <v>96555.850090000007</v>
      </c>
    </row>
    <row r="104" spans="2:9">
      <c r="B104" s="231" t="s">
        <v>176</v>
      </c>
      <c r="C104" s="187" t="s">
        <v>177</v>
      </c>
      <c r="D104" s="182">
        <v>11200.41699</v>
      </c>
      <c r="E104" s="182">
        <v>2046.4160199999999</v>
      </c>
      <c r="F104" s="182">
        <v>7173.7363299999997</v>
      </c>
      <c r="G104" s="182">
        <v>8813.3037100000001</v>
      </c>
      <c r="H104" s="182">
        <v>10134.215819999999</v>
      </c>
      <c r="I104" s="216">
        <f t="shared" si="54"/>
        <v>39368.08887</v>
      </c>
    </row>
    <row r="105" spans="2:9">
      <c r="B105" s="231" t="s">
        <v>178</v>
      </c>
      <c r="C105" s="187" t="s">
        <v>179</v>
      </c>
      <c r="D105" s="182">
        <v>11296.97363</v>
      </c>
      <c r="E105" s="182">
        <v>1617.9960900000001</v>
      </c>
      <c r="F105" s="182">
        <v>8518.8964799999994</v>
      </c>
      <c r="G105" s="182">
        <v>9054.90625</v>
      </c>
      <c r="H105" s="182">
        <v>11601.356449999999</v>
      </c>
      <c r="I105" s="216">
        <f t="shared" si="54"/>
        <v>42090.128899999996</v>
      </c>
    </row>
    <row r="106" spans="2:9">
      <c r="B106" s="231" t="s">
        <v>172</v>
      </c>
      <c r="C106" s="187" t="s">
        <v>180</v>
      </c>
      <c r="D106" s="182">
        <v>28443.609369999998</v>
      </c>
      <c r="E106" s="182">
        <v>6134.6171899999999</v>
      </c>
      <c r="F106" s="182">
        <v>22373.880860000001</v>
      </c>
      <c r="G106" s="182">
        <v>18527.203130000002</v>
      </c>
      <c r="H106" s="182">
        <v>24786.657230000001</v>
      </c>
      <c r="I106" s="216">
        <f t="shared" si="54"/>
        <v>100265.96777999999</v>
      </c>
    </row>
    <row r="107" spans="2:9">
      <c r="B107" s="231" t="s">
        <v>174</v>
      </c>
      <c r="C107" s="187" t="s">
        <v>181</v>
      </c>
      <c r="D107" s="182">
        <v>22766.881839999998</v>
      </c>
      <c r="E107" s="182">
        <v>4357.7148399999996</v>
      </c>
      <c r="F107" s="182">
        <v>18403.957030000001</v>
      </c>
      <c r="G107" s="182">
        <v>16224.695309999999</v>
      </c>
      <c r="H107" s="182">
        <v>20881.10742</v>
      </c>
      <c r="I107" s="216">
        <f t="shared" si="54"/>
        <v>82634.356440000003</v>
      </c>
    </row>
    <row r="108" spans="2:9">
      <c r="B108" s="231" t="s">
        <v>182</v>
      </c>
      <c r="C108" s="187" t="s">
        <v>183</v>
      </c>
      <c r="D108" s="182">
        <v>9805.6074200000003</v>
      </c>
      <c r="E108" s="182">
        <v>1131.9068600000001</v>
      </c>
      <c r="F108" s="182">
        <v>9405.6640599999992</v>
      </c>
      <c r="G108" s="182">
        <v>9316.3466800000006</v>
      </c>
      <c r="H108" s="182">
        <v>13162.33301</v>
      </c>
      <c r="I108" s="216">
        <f t="shared" si="54"/>
        <v>42821.858030000003</v>
      </c>
    </row>
    <row r="109" spans="2:9">
      <c r="B109" s="231" t="s">
        <v>184</v>
      </c>
      <c r="C109" s="187" t="s">
        <v>185</v>
      </c>
      <c r="D109" s="182">
        <v>13871.181640000001</v>
      </c>
      <c r="E109" s="182">
        <v>1406.5023200000001</v>
      </c>
      <c r="F109" s="182">
        <v>5599.3652300000003</v>
      </c>
      <c r="G109" s="182">
        <v>9785.2861300000004</v>
      </c>
      <c r="H109" s="182">
        <v>9997.4150399999999</v>
      </c>
      <c r="I109" s="216">
        <f t="shared" si="54"/>
        <v>40659.750360000005</v>
      </c>
    </row>
    <row r="110" spans="2:9">
      <c r="B110" s="122" t="s">
        <v>186</v>
      </c>
      <c r="C110" s="192"/>
      <c r="D110" s="192"/>
      <c r="E110" s="192"/>
      <c r="F110" s="192"/>
      <c r="G110" s="192"/>
      <c r="H110" s="192"/>
      <c r="I110" s="192"/>
    </row>
    <row r="114" spans="2:9">
      <c r="B114" s="189"/>
      <c r="C114" s="189"/>
      <c r="D114" s="254" t="s">
        <v>146</v>
      </c>
      <c r="E114" s="254"/>
      <c r="F114" s="254"/>
      <c r="G114" s="254"/>
      <c r="H114" s="254"/>
      <c r="I114" s="103"/>
    </row>
    <row r="115" spans="2:9" ht="45.75" thickBot="1">
      <c r="B115" s="230" t="s">
        <v>166</v>
      </c>
      <c r="C115" s="213" t="s">
        <v>167</v>
      </c>
      <c r="D115" s="90" t="s">
        <v>156</v>
      </c>
      <c r="E115" s="90" t="s">
        <v>157</v>
      </c>
      <c r="F115" s="90" t="s">
        <v>158</v>
      </c>
      <c r="G115" s="90" t="s">
        <v>159</v>
      </c>
      <c r="H115" s="90" t="s">
        <v>160</v>
      </c>
      <c r="I115" s="99" t="s">
        <v>161</v>
      </c>
    </row>
    <row r="116" spans="2:9" ht="16.5" thickTop="1">
      <c r="B116" s="231" t="s">
        <v>168</v>
      </c>
      <c r="C116" s="187" t="s">
        <v>169</v>
      </c>
      <c r="D116" s="223">
        <f>(D100-D84)/D84</f>
        <v>5.3597437955882361</v>
      </c>
      <c r="E116" s="223">
        <f t="shared" ref="E116:I116" si="55">(E100-E84)/E84</f>
        <v>-0.66046181626016265</v>
      </c>
      <c r="F116" s="223">
        <f t="shared" si="55"/>
        <v>0.43911601549999996</v>
      </c>
      <c r="G116" s="223">
        <f t="shared" si="55"/>
        <v>0.66825739778761051</v>
      </c>
      <c r="H116" s="223">
        <f t="shared" si="55"/>
        <v>0.43118874272727276</v>
      </c>
      <c r="I116" s="227">
        <f t="shared" si="55"/>
        <v>0.4196334868882734</v>
      </c>
    </row>
    <row r="117" spans="2:9">
      <c r="B117" s="231" t="s">
        <v>170</v>
      </c>
      <c r="C117" s="187" t="s">
        <v>171</v>
      </c>
      <c r="D117" s="223">
        <f t="shared" ref="D117:I117" si="56">(D101-D85)/D85</f>
        <v>6.2623835784313728</v>
      </c>
      <c r="E117" s="223">
        <f t="shared" si="56"/>
        <v>-0.75419947475409832</v>
      </c>
      <c r="F117" s="223">
        <f t="shared" si="56"/>
        <v>0.95144193221153828</v>
      </c>
      <c r="G117" s="223">
        <f t="shared" si="56"/>
        <v>0.26526426263345187</v>
      </c>
      <c r="H117" s="223">
        <f t="shared" si="56"/>
        <v>0.21881968846153851</v>
      </c>
      <c r="I117" s="227">
        <f t="shared" si="56"/>
        <v>0.3683440043110735</v>
      </c>
    </row>
    <row r="118" spans="2:9">
      <c r="B118" s="231" t="s">
        <v>172</v>
      </c>
      <c r="C118" s="187" t="s">
        <v>173</v>
      </c>
      <c r="D118" s="223">
        <f t="shared" ref="D118:I118" si="57">(D102-D86)/D86</f>
        <v>8.662381630303031</v>
      </c>
      <c r="E118" s="223">
        <f t="shared" si="57"/>
        <v>-0.84704676679841895</v>
      </c>
      <c r="F118" s="223">
        <f t="shared" si="57"/>
        <v>-0.36838873333333327</v>
      </c>
      <c r="G118" s="223">
        <f t="shared" si="57"/>
        <v>0.54171144427480922</v>
      </c>
      <c r="H118" s="223">
        <f t="shared" si="57"/>
        <v>1.1511815314606744</v>
      </c>
      <c r="I118" s="227">
        <f t="shared" si="57"/>
        <v>0.2803027198496244</v>
      </c>
    </row>
    <row r="119" spans="2:9">
      <c r="B119" s="231" t="s">
        <v>174</v>
      </c>
      <c r="C119" s="187" t="s">
        <v>175</v>
      </c>
      <c r="D119" s="223">
        <f t="shared" ref="D119:I119" si="58">(D103-D87)/D87</f>
        <v>7.1121416000000002</v>
      </c>
      <c r="E119" s="223">
        <f t="shared" si="58"/>
        <v>-0.78361831811023619</v>
      </c>
      <c r="F119" s="223">
        <f t="shared" si="58"/>
        <v>0.4568709993975904</v>
      </c>
      <c r="G119" s="223">
        <f t="shared" si="58"/>
        <v>1.8530208444444481E-2</v>
      </c>
      <c r="H119" s="223">
        <f t="shared" si="58"/>
        <v>0.44466972748815164</v>
      </c>
      <c r="I119" s="227">
        <f t="shared" si="58"/>
        <v>0.28913017476635522</v>
      </c>
    </row>
    <row r="120" spans="2:9">
      <c r="B120" s="231" t="s">
        <v>176</v>
      </c>
      <c r="C120" s="187" t="s">
        <v>177</v>
      </c>
      <c r="D120" s="223">
        <f t="shared" ref="D120:I120" si="59">(D104-D88)/D88</f>
        <v>1.8719017923076922</v>
      </c>
      <c r="E120" s="223">
        <f t="shared" si="59"/>
        <v>-0.92159325593869734</v>
      </c>
      <c r="F120" s="223">
        <f t="shared" si="59"/>
        <v>-0.64131318349999999</v>
      </c>
      <c r="G120" s="223">
        <f t="shared" si="59"/>
        <v>-0.63879902827868851</v>
      </c>
      <c r="H120" s="223">
        <f t="shared" si="59"/>
        <v>-0.48557280101522843</v>
      </c>
      <c r="I120" s="227">
        <f t="shared" si="59"/>
        <v>-0.58163561243358131</v>
      </c>
    </row>
    <row r="121" spans="2:9">
      <c r="B121" s="231" t="s">
        <v>178</v>
      </c>
      <c r="C121" s="187" t="s">
        <v>179</v>
      </c>
      <c r="D121" s="223">
        <f t="shared" ref="D121:I121" si="60">(D105-D89)/D89</f>
        <v>3.3449898576923078</v>
      </c>
      <c r="E121" s="223">
        <f t="shared" si="60"/>
        <v>-0.9274441215246636</v>
      </c>
      <c r="F121" s="223">
        <f t="shared" si="60"/>
        <v>-0.58845910724637684</v>
      </c>
      <c r="G121" s="223">
        <f t="shared" si="60"/>
        <v>-0.62889728483606555</v>
      </c>
      <c r="H121" s="223">
        <f t="shared" si="60"/>
        <v>-0.35904108011049729</v>
      </c>
      <c r="I121" s="227">
        <f t="shared" si="60"/>
        <v>-0.52224598297389335</v>
      </c>
    </row>
    <row r="122" spans="2:9">
      <c r="B122" s="231" t="s">
        <v>172</v>
      </c>
      <c r="C122" s="187" t="s">
        <v>180</v>
      </c>
      <c r="D122" s="223">
        <f t="shared" ref="D122:I122" si="61">(D106-D90)/D90</f>
        <v>5.6147928767441853</v>
      </c>
      <c r="E122" s="223">
        <f t="shared" si="61"/>
        <v>-0.76850501169811314</v>
      </c>
      <c r="F122" s="223">
        <f t="shared" si="61"/>
        <v>0.22261644043715853</v>
      </c>
      <c r="G122" s="223">
        <f t="shared" si="61"/>
        <v>1.7978193956044049E-2</v>
      </c>
      <c r="H122" s="223">
        <f t="shared" si="61"/>
        <v>0.6200429562091504</v>
      </c>
      <c r="I122" s="227">
        <f t="shared" si="61"/>
        <v>0.21387370193704591</v>
      </c>
    </row>
    <row r="123" spans="2:9">
      <c r="B123" s="231" t="s">
        <v>174</v>
      </c>
      <c r="C123" s="187" t="s">
        <v>181</v>
      </c>
      <c r="D123" s="223">
        <f t="shared" ref="D123:I123" si="62">(D107-D91)/D91</f>
        <v>6.3441554322580638</v>
      </c>
      <c r="E123" s="223">
        <f t="shared" si="62"/>
        <v>-0.79444741320754719</v>
      </c>
      <c r="F123" s="223">
        <f t="shared" si="62"/>
        <v>7.6254797076023478E-2</v>
      </c>
      <c r="G123" s="223">
        <f t="shared" si="62"/>
        <v>-0.23468418349056608</v>
      </c>
      <c r="H123" s="223">
        <f t="shared" si="62"/>
        <v>0.34716822064516129</v>
      </c>
      <c r="I123" s="227">
        <f t="shared" si="62"/>
        <v>5.8058341101152412E-2</v>
      </c>
    </row>
    <row r="124" spans="2:9">
      <c r="B124" s="231" t="s">
        <v>182</v>
      </c>
      <c r="C124" s="187" t="s">
        <v>183</v>
      </c>
      <c r="D124" s="223">
        <f t="shared" ref="D124:I124" si="63">(D108-D92)/D92</f>
        <v>97.056074199999998</v>
      </c>
      <c r="E124" s="223">
        <f t="shared" si="63"/>
        <v>-0.52837214166666668</v>
      </c>
      <c r="F124" s="223">
        <f t="shared" si="63"/>
        <v>0.77465359622641494</v>
      </c>
      <c r="G124" s="223">
        <f t="shared" si="63"/>
        <v>0.66363333571428584</v>
      </c>
      <c r="H124" s="223">
        <f t="shared" si="63"/>
        <v>2.9885857606060608</v>
      </c>
      <c r="I124" s="227">
        <f t="shared" si="63"/>
        <v>1.5641831155688624</v>
      </c>
    </row>
    <row r="125" spans="2:9">
      <c r="B125" s="231" t="s">
        <v>184</v>
      </c>
      <c r="C125" s="187" t="s">
        <v>185</v>
      </c>
      <c r="D125" s="223">
        <f t="shared" ref="D125:I125" si="64">(D109-D93)/D93</f>
        <v>14.412424044444446</v>
      </c>
      <c r="E125" s="223">
        <f t="shared" si="64"/>
        <v>-0.87328807927927932</v>
      </c>
      <c r="F125" s="223">
        <f t="shared" si="64"/>
        <v>-0.29121959113924045</v>
      </c>
      <c r="G125" s="223">
        <f t="shared" si="64"/>
        <v>0.34045015479452062</v>
      </c>
      <c r="H125" s="223">
        <f t="shared" si="64"/>
        <v>1.8564042971428572</v>
      </c>
      <c r="I125" s="227">
        <f t="shared" si="64"/>
        <v>0.32442183583061907</v>
      </c>
    </row>
    <row r="126" spans="2:9">
      <c r="B126" s="122" t="s">
        <v>186</v>
      </c>
      <c r="C126" s="192"/>
      <c r="D126" s="192"/>
      <c r="E126" s="192"/>
      <c r="F126" s="192"/>
      <c r="G126" s="192"/>
      <c r="H126" s="192"/>
      <c r="I126" s="192"/>
    </row>
    <row r="130" spans="2:30" ht="18.75">
      <c r="B130" s="1" t="s">
        <v>187</v>
      </c>
    </row>
    <row r="131" spans="2:30" ht="18.75">
      <c r="B131" s="1" t="s">
        <v>1</v>
      </c>
    </row>
    <row r="132" spans="2:30" ht="18.75">
      <c r="B132" s="1" t="s">
        <v>62</v>
      </c>
    </row>
    <row r="133" spans="2:30">
      <c r="B133" s="187"/>
    </row>
    <row r="134" spans="2:30">
      <c r="B134" s="104"/>
      <c r="C134" s="104"/>
      <c r="D134" s="254" t="s">
        <v>146</v>
      </c>
      <c r="E134" s="254"/>
      <c r="F134" s="254"/>
      <c r="G134" s="254"/>
      <c r="H134" s="254"/>
      <c r="I134" s="123"/>
    </row>
    <row r="135" spans="2:30" ht="30.75" thickBot="1">
      <c r="B135" s="107" t="s">
        <v>188</v>
      </c>
      <c r="C135" s="107" t="s">
        <v>189</v>
      </c>
      <c r="D135" s="90" t="s">
        <v>156</v>
      </c>
      <c r="E135" s="90" t="s">
        <v>157</v>
      </c>
      <c r="F135" s="90" t="s">
        <v>158</v>
      </c>
      <c r="G135" s="90" t="s">
        <v>159</v>
      </c>
      <c r="H135" s="90" t="s">
        <v>160</v>
      </c>
      <c r="I135" s="99" t="s">
        <v>161</v>
      </c>
    </row>
    <row r="136" spans="2:30" ht="16.5" thickTop="1">
      <c r="B136" s="106" t="s">
        <v>190</v>
      </c>
      <c r="C136" s="106" t="s">
        <v>191</v>
      </c>
      <c r="D136" s="109">
        <v>6300</v>
      </c>
      <c r="E136" s="109">
        <v>138400</v>
      </c>
      <c r="F136" s="109">
        <v>87500</v>
      </c>
      <c r="G136" s="109">
        <v>145200</v>
      </c>
      <c r="H136" s="109">
        <v>67900</v>
      </c>
      <c r="I136" s="113">
        <f t="shared" ref="I136:I149" si="65">SUM(D136:H136)</f>
        <v>445300</v>
      </c>
    </row>
    <row r="137" spans="2:30">
      <c r="B137" s="106" t="s">
        <v>192</v>
      </c>
      <c r="C137" s="106" t="s">
        <v>193</v>
      </c>
      <c r="D137" s="109">
        <v>39800</v>
      </c>
      <c r="E137" s="109">
        <v>305100</v>
      </c>
      <c r="F137" s="109">
        <v>96800</v>
      </c>
      <c r="G137" s="109">
        <v>234400</v>
      </c>
      <c r="H137" s="109">
        <v>192000</v>
      </c>
      <c r="I137" s="114">
        <f t="shared" si="65"/>
        <v>868100</v>
      </c>
    </row>
    <row r="138" spans="2:30">
      <c r="B138" s="94" t="s">
        <v>194</v>
      </c>
      <c r="C138" s="94" t="s">
        <v>195</v>
      </c>
      <c r="D138" s="110">
        <v>13200</v>
      </c>
      <c r="E138" s="110">
        <v>129200</v>
      </c>
      <c r="F138" s="110">
        <v>29200</v>
      </c>
      <c r="G138" s="110">
        <v>106800</v>
      </c>
      <c r="H138" s="110">
        <v>70700</v>
      </c>
      <c r="I138" s="114">
        <f t="shared" si="65"/>
        <v>349100</v>
      </c>
    </row>
    <row r="139" spans="2:30">
      <c r="B139" s="255" t="s">
        <v>196</v>
      </c>
      <c r="C139" s="108" t="s">
        <v>191</v>
      </c>
      <c r="D139" s="111">
        <v>1200</v>
      </c>
      <c r="E139" s="111">
        <v>18100</v>
      </c>
      <c r="F139" s="111">
        <v>6300</v>
      </c>
      <c r="G139" s="111">
        <v>16700</v>
      </c>
      <c r="H139" s="111">
        <v>5500</v>
      </c>
      <c r="I139" s="115">
        <f t="shared" si="65"/>
        <v>47800</v>
      </c>
    </row>
    <row r="140" spans="2:30">
      <c r="B140" s="256"/>
      <c r="C140" s="106" t="s">
        <v>197</v>
      </c>
      <c r="D140" s="109">
        <v>600</v>
      </c>
      <c r="E140" s="109">
        <v>10000</v>
      </c>
      <c r="F140" s="109">
        <v>2300</v>
      </c>
      <c r="G140" s="109">
        <v>7700</v>
      </c>
      <c r="H140" s="109">
        <v>3800</v>
      </c>
      <c r="I140" s="116">
        <f t="shared" si="65"/>
        <v>24400</v>
      </c>
    </row>
    <row r="141" spans="2:30">
      <c r="B141" s="87" t="s">
        <v>198</v>
      </c>
      <c r="C141" s="87" t="s">
        <v>191</v>
      </c>
      <c r="D141" s="112">
        <v>2600</v>
      </c>
      <c r="E141" s="112">
        <v>52700</v>
      </c>
      <c r="F141" s="112">
        <v>26300</v>
      </c>
      <c r="G141" s="112">
        <v>54100</v>
      </c>
      <c r="H141" s="112">
        <v>19800</v>
      </c>
      <c r="I141" s="117">
        <f t="shared" si="65"/>
        <v>155500</v>
      </c>
    </row>
    <row r="142" spans="2:30">
      <c r="B142" s="253" t="s">
        <v>199</v>
      </c>
      <c r="C142" s="108" t="s">
        <v>191</v>
      </c>
      <c r="D142" s="111">
        <v>17800</v>
      </c>
      <c r="E142" s="111">
        <v>292800</v>
      </c>
      <c r="F142" s="111">
        <v>199200</v>
      </c>
      <c r="G142" s="111">
        <v>330900</v>
      </c>
      <c r="H142" s="111">
        <v>174100</v>
      </c>
      <c r="I142" s="115">
        <f t="shared" si="65"/>
        <v>1014800</v>
      </c>
      <c r="J142" s="54">
        <f>SUM(I142:I143)</f>
        <v>1330100</v>
      </c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</row>
    <row r="143" spans="2:30">
      <c r="B143" s="262"/>
      <c r="C143" s="106" t="s">
        <v>200</v>
      </c>
      <c r="D143" s="109">
        <v>4500</v>
      </c>
      <c r="E143" s="109">
        <v>88100</v>
      </c>
      <c r="F143" s="109">
        <v>60100</v>
      </c>
      <c r="G143" s="109">
        <v>98400</v>
      </c>
      <c r="H143" s="109">
        <v>64200</v>
      </c>
      <c r="I143" s="116">
        <f t="shared" si="65"/>
        <v>315300</v>
      </c>
    </row>
    <row r="144" spans="2:30">
      <c r="B144" s="252" t="s">
        <v>201</v>
      </c>
      <c r="C144" s="87" t="s">
        <v>191</v>
      </c>
      <c r="D144" s="112">
        <v>2300</v>
      </c>
      <c r="E144" s="112">
        <v>97600</v>
      </c>
      <c r="F144" s="112">
        <v>58300</v>
      </c>
      <c r="G144" s="112">
        <v>102600</v>
      </c>
      <c r="H144" s="112">
        <v>24500</v>
      </c>
      <c r="I144" s="117">
        <f t="shared" si="65"/>
        <v>285300</v>
      </c>
    </row>
    <row r="145" spans="2:38">
      <c r="B145" s="263"/>
      <c r="C145" s="87" t="s">
        <v>200</v>
      </c>
      <c r="D145" s="112">
        <v>8200</v>
      </c>
      <c r="E145" s="112">
        <v>90700</v>
      </c>
      <c r="F145" s="112">
        <v>50700</v>
      </c>
      <c r="G145" s="112">
        <v>93200</v>
      </c>
      <c r="H145" s="112">
        <v>54700</v>
      </c>
      <c r="I145" s="117">
        <f t="shared" si="65"/>
        <v>297500</v>
      </c>
    </row>
    <row r="146" spans="2:38">
      <c r="B146" s="253" t="s">
        <v>118</v>
      </c>
      <c r="C146" s="108" t="s">
        <v>191</v>
      </c>
      <c r="D146" s="111">
        <v>3400</v>
      </c>
      <c r="E146" s="111">
        <v>76600</v>
      </c>
      <c r="F146" s="111">
        <v>27200</v>
      </c>
      <c r="G146" s="111">
        <v>72000</v>
      </c>
      <c r="H146" s="111">
        <v>20400</v>
      </c>
      <c r="I146" s="115">
        <f t="shared" si="65"/>
        <v>199600</v>
      </c>
    </row>
    <row r="147" spans="2:38">
      <c r="B147" s="263"/>
      <c r="C147" s="87" t="s">
        <v>197</v>
      </c>
      <c r="D147" s="105">
        <v>0</v>
      </c>
      <c r="E147" s="112">
        <v>9900</v>
      </c>
      <c r="F147" s="112">
        <v>1600</v>
      </c>
      <c r="G147" s="112">
        <v>7100</v>
      </c>
      <c r="H147" s="112">
        <v>4400</v>
      </c>
      <c r="I147" s="117">
        <f t="shared" si="65"/>
        <v>23000</v>
      </c>
    </row>
    <row r="148" spans="2:38">
      <c r="B148" s="263"/>
      <c r="C148" s="87" t="s">
        <v>200</v>
      </c>
      <c r="D148" s="105">
        <v>0</v>
      </c>
      <c r="E148" s="112">
        <v>13900</v>
      </c>
      <c r="F148" s="112">
        <v>5900</v>
      </c>
      <c r="G148" s="112">
        <v>13900</v>
      </c>
      <c r="H148" s="105">
        <v>0</v>
      </c>
      <c r="I148" s="117">
        <f t="shared" si="65"/>
        <v>33700</v>
      </c>
    </row>
    <row r="149" spans="2:38">
      <c r="B149" s="263"/>
      <c r="C149" s="87" t="s">
        <v>195</v>
      </c>
      <c r="D149" s="112">
        <v>1800</v>
      </c>
      <c r="E149" s="112">
        <v>28200</v>
      </c>
      <c r="F149" s="112">
        <v>5200</v>
      </c>
      <c r="G149" s="112">
        <v>24000</v>
      </c>
      <c r="H149" s="112">
        <v>10100</v>
      </c>
      <c r="I149" s="117">
        <f t="shared" si="65"/>
        <v>69300</v>
      </c>
    </row>
    <row r="150" spans="2:38">
      <c r="B150" s="118" t="s">
        <v>202</v>
      </c>
      <c r="C150" s="119" t="s">
        <v>202</v>
      </c>
      <c r="D150" s="120">
        <f>SUM(D136:D149)</f>
        <v>101700</v>
      </c>
      <c r="E150" s="120">
        <f t="shared" ref="E150:H150" si="66">SUM(E136:E149)</f>
        <v>1351300</v>
      </c>
      <c r="F150" s="120">
        <f t="shared" si="66"/>
        <v>656600</v>
      </c>
      <c r="G150" s="120">
        <f t="shared" si="66"/>
        <v>1307000</v>
      </c>
      <c r="H150" s="120">
        <f t="shared" si="66"/>
        <v>712100</v>
      </c>
      <c r="I150" s="121">
        <f t="shared" ref="I150" si="67">SUM(I136:I149)</f>
        <v>4128700</v>
      </c>
    </row>
    <row r="153" spans="2:38">
      <c r="B153" s="125" t="s">
        <v>101</v>
      </c>
    </row>
    <row r="154" spans="2:38" ht="16.5" thickBot="1">
      <c r="B154" s="104"/>
      <c r="C154" s="104"/>
      <c r="D154" s="254" t="s">
        <v>146</v>
      </c>
      <c r="E154" s="254"/>
      <c r="F154" s="254"/>
      <c r="G154" s="254"/>
      <c r="H154" s="254"/>
      <c r="I154" s="123"/>
    </row>
    <row r="155" spans="2:38" ht="30.75" thickBot="1">
      <c r="B155" s="107" t="s">
        <v>188</v>
      </c>
      <c r="C155" s="107" t="s">
        <v>189</v>
      </c>
      <c r="D155" s="90" t="s">
        <v>156</v>
      </c>
      <c r="E155" s="90" t="s">
        <v>157</v>
      </c>
      <c r="F155" s="90" t="s">
        <v>158</v>
      </c>
      <c r="G155" s="90" t="s">
        <v>159</v>
      </c>
      <c r="H155" s="90" t="s">
        <v>160</v>
      </c>
      <c r="I155" s="99" t="s">
        <v>161</v>
      </c>
      <c r="AF155" s="151" t="s">
        <v>189</v>
      </c>
      <c r="AG155" s="152" t="s">
        <v>156</v>
      </c>
      <c r="AH155" s="151" t="s">
        <v>157</v>
      </c>
      <c r="AI155" s="151" t="s">
        <v>158</v>
      </c>
      <c r="AJ155" s="151" t="s">
        <v>159</v>
      </c>
      <c r="AK155" s="150" t="s">
        <v>203</v>
      </c>
      <c r="AL155" s="151" t="s">
        <v>161</v>
      </c>
    </row>
    <row r="156" spans="2:38" ht="17.25" thickTop="1" thickBot="1">
      <c r="B156" s="106" t="s">
        <v>190</v>
      </c>
      <c r="C156" s="106" t="s">
        <v>191</v>
      </c>
      <c r="D156" s="109">
        <v>7266</v>
      </c>
      <c r="E156" s="109">
        <v>106611</v>
      </c>
      <c r="F156" s="109">
        <v>74725</v>
      </c>
      <c r="G156" s="109">
        <v>112717</v>
      </c>
      <c r="H156" s="109">
        <v>51601</v>
      </c>
      <c r="I156" s="113">
        <v>352920</v>
      </c>
      <c r="AF156" s="154" t="s">
        <v>191</v>
      </c>
      <c r="AG156" s="155">
        <v>7777</v>
      </c>
      <c r="AH156" s="155">
        <v>111591</v>
      </c>
      <c r="AI156" s="155">
        <v>75969</v>
      </c>
      <c r="AJ156" s="155">
        <v>115290</v>
      </c>
      <c r="AK156" s="155">
        <v>51924</v>
      </c>
      <c r="AL156" s="156">
        <v>362551</v>
      </c>
    </row>
    <row r="157" spans="2:38" ht="16.5" thickBot="1">
      <c r="B157" s="106" t="s">
        <v>192</v>
      </c>
      <c r="C157" s="106" t="s">
        <v>193</v>
      </c>
      <c r="D157" s="109">
        <v>40698</v>
      </c>
      <c r="E157" s="109">
        <v>268101</v>
      </c>
      <c r="F157" s="109">
        <v>145608</v>
      </c>
      <c r="G157" s="109">
        <v>217600</v>
      </c>
      <c r="H157" s="109">
        <v>198004</v>
      </c>
      <c r="I157" s="114">
        <v>870011</v>
      </c>
      <c r="AF157" s="157" t="s">
        <v>204</v>
      </c>
      <c r="AG157" s="158">
        <v>42320</v>
      </c>
      <c r="AH157" s="158">
        <v>277116</v>
      </c>
      <c r="AI157" s="158">
        <v>147481</v>
      </c>
      <c r="AJ157" s="158">
        <v>222851</v>
      </c>
      <c r="AK157" s="158">
        <v>202916</v>
      </c>
      <c r="AL157" s="159">
        <v>892684</v>
      </c>
    </row>
    <row r="158" spans="2:38" ht="15.75" customHeight="1">
      <c r="B158" s="94" t="s">
        <v>194</v>
      </c>
      <c r="C158" s="94" t="s">
        <v>195</v>
      </c>
      <c r="D158" s="110">
        <v>18051</v>
      </c>
      <c r="E158" s="110">
        <v>100330</v>
      </c>
      <c r="F158" s="110">
        <v>27718</v>
      </c>
      <c r="G158" s="110">
        <v>81611</v>
      </c>
      <c r="H158" s="110">
        <v>61045</v>
      </c>
      <c r="I158" s="114">
        <v>288755</v>
      </c>
      <c r="AF158" s="160" t="s">
        <v>205</v>
      </c>
      <c r="AG158" s="161">
        <v>19238</v>
      </c>
      <c r="AH158" s="161">
        <v>104732</v>
      </c>
      <c r="AI158" s="161">
        <v>28131</v>
      </c>
      <c r="AJ158" s="161">
        <v>85008</v>
      </c>
      <c r="AK158" s="161">
        <v>62684</v>
      </c>
      <c r="AL158" s="162">
        <v>299793</v>
      </c>
    </row>
    <row r="159" spans="2:38" ht="16.5" thickBot="1">
      <c r="B159" s="255" t="s">
        <v>196</v>
      </c>
      <c r="C159" s="108" t="s">
        <v>191</v>
      </c>
      <c r="D159" s="111">
        <v>2183</v>
      </c>
      <c r="E159" s="111">
        <v>16691</v>
      </c>
      <c r="F159" s="111">
        <v>5201</v>
      </c>
      <c r="G159" s="111">
        <v>14111</v>
      </c>
      <c r="H159" s="111">
        <v>6405</v>
      </c>
      <c r="I159" s="115">
        <v>44591</v>
      </c>
      <c r="AF159" s="153" t="s">
        <v>191</v>
      </c>
      <c r="AG159" s="163">
        <v>2016</v>
      </c>
      <c r="AH159" s="163">
        <v>16775</v>
      </c>
      <c r="AI159" s="163">
        <v>5272</v>
      </c>
      <c r="AJ159" s="163">
        <v>13607</v>
      </c>
      <c r="AK159" s="163">
        <v>6753</v>
      </c>
      <c r="AL159" s="164">
        <v>44423</v>
      </c>
    </row>
    <row r="160" spans="2:38">
      <c r="B160" s="256"/>
      <c r="C160" s="106" t="s">
        <v>197</v>
      </c>
      <c r="D160" s="109">
        <v>258</v>
      </c>
      <c r="E160" s="109">
        <v>3500</v>
      </c>
      <c r="F160" s="109">
        <v>418</v>
      </c>
      <c r="G160" s="109">
        <v>2169</v>
      </c>
      <c r="H160" s="109">
        <v>1327</v>
      </c>
      <c r="I160" s="116">
        <v>7672</v>
      </c>
      <c r="AF160" s="160" t="s">
        <v>206</v>
      </c>
      <c r="AG160" s="161">
        <v>184</v>
      </c>
      <c r="AH160" s="161">
        <v>3859</v>
      </c>
      <c r="AI160" s="161">
        <v>343</v>
      </c>
      <c r="AJ160" s="161">
        <v>2102</v>
      </c>
      <c r="AK160" s="161">
        <v>1280</v>
      </c>
      <c r="AL160" s="162">
        <v>7768</v>
      </c>
    </row>
    <row r="161" spans="2:38" ht="15.75" customHeight="1">
      <c r="B161" s="87" t="s">
        <v>198</v>
      </c>
      <c r="C161" s="87" t="s">
        <v>191</v>
      </c>
      <c r="D161" s="112">
        <v>3214</v>
      </c>
      <c r="E161" s="112">
        <v>43989</v>
      </c>
      <c r="F161" s="112">
        <v>18577</v>
      </c>
      <c r="G161" s="112">
        <v>39749</v>
      </c>
      <c r="H161" s="112">
        <v>13551</v>
      </c>
      <c r="I161" s="117">
        <v>119080</v>
      </c>
      <c r="AF161" s="157" t="s">
        <v>191</v>
      </c>
      <c r="AG161" s="158">
        <v>3490</v>
      </c>
      <c r="AH161" s="158">
        <v>44148</v>
      </c>
      <c r="AI161" s="158">
        <v>18460</v>
      </c>
      <c r="AJ161" s="158">
        <v>40763</v>
      </c>
      <c r="AK161" s="158">
        <v>14130</v>
      </c>
      <c r="AL161" s="159">
        <v>120991</v>
      </c>
    </row>
    <row r="162" spans="2:38">
      <c r="B162" s="253" t="s">
        <v>199</v>
      </c>
      <c r="C162" s="108" t="s">
        <v>191</v>
      </c>
      <c r="D162" s="111">
        <v>14540</v>
      </c>
      <c r="E162" s="111">
        <v>236995</v>
      </c>
      <c r="F162" s="111">
        <v>165542</v>
      </c>
      <c r="G162" s="111">
        <v>242260</v>
      </c>
      <c r="H162" s="111">
        <v>149937</v>
      </c>
      <c r="I162" s="115">
        <v>809274</v>
      </c>
      <c r="J162" s="54">
        <f>SUM(I162:I163)</f>
        <v>1182214</v>
      </c>
      <c r="K162" s="49">
        <f>(J162-J142)/J142</f>
        <v>-0.11118412149462446</v>
      </c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G162" s="167">
        <f>+AG174+AG175</f>
        <v>14667</v>
      </c>
      <c r="AH162" s="167">
        <f t="shared" ref="AH162:AK162" si="68">+AH174+AH175</f>
        <v>240122</v>
      </c>
      <c r="AI162" s="167">
        <f t="shared" si="68"/>
        <v>163935</v>
      </c>
      <c r="AJ162" s="167">
        <f t="shared" si="68"/>
        <v>245720</v>
      </c>
      <c r="AK162" s="167">
        <f t="shared" si="68"/>
        <v>151760</v>
      </c>
      <c r="AL162" s="167">
        <f>SUM(AG162:AK162)</f>
        <v>816204</v>
      </c>
    </row>
    <row r="163" spans="2:38" ht="15.75" customHeight="1">
      <c r="B163" s="262"/>
      <c r="C163" s="106" t="s">
        <v>200</v>
      </c>
      <c r="D163" s="109">
        <v>11004</v>
      </c>
      <c r="E163" s="109">
        <v>121244</v>
      </c>
      <c r="F163" s="109">
        <v>75781</v>
      </c>
      <c r="G163" s="109">
        <v>134348</v>
      </c>
      <c r="H163" s="109">
        <v>30563</v>
      </c>
      <c r="I163" s="116">
        <v>372940</v>
      </c>
      <c r="AF163" s="157" t="s">
        <v>207</v>
      </c>
      <c r="AG163" s="158">
        <v>10835</v>
      </c>
      <c r="AH163" s="158">
        <v>122976</v>
      </c>
      <c r="AI163" s="158">
        <v>75260</v>
      </c>
      <c r="AJ163" s="158">
        <v>132850</v>
      </c>
      <c r="AK163" s="158">
        <v>29483</v>
      </c>
      <c r="AL163" s="159">
        <v>371404</v>
      </c>
    </row>
    <row r="164" spans="2:38" ht="15.75" customHeight="1">
      <c r="B164" s="252" t="s">
        <v>201</v>
      </c>
      <c r="C164" s="87" t="s">
        <v>191</v>
      </c>
      <c r="D164" s="112">
        <v>3645</v>
      </c>
      <c r="E164" s="112">
        <v>61473</v>
      </c>
      <c r="F164" s="112">
        <v>36848</v>
      </c>
      <c r="G164" s="112">
        <v>63902</v>
      </c>
      <c r="H164" s="112">
        <v>17001</v>
      </c>
      <c r="I164" s="117">
        <v>182869</v>
      </c>
      <c r="AF164" s="157" t="s">
        <v>191</v>
      </c>
      <c r="AG164" s="158">
        <v>4381</v>
      </c>
      <c r="AH164" s="158">
        <v>64088</v>
      </c>
      <c r="AI164" s="158">
        <v>37492</v>
      </c>
      <c r="AJ164" s="158">
        <v>66076</v>
      </c>
      <c r="AK164" s="158">
        <v>18997</v>
      </c>
      <c r="AL164" s="159">
        <v>191034</v>
      </c>
    </row>
    <row r="165" spans="2:38" ht="16.5" customHeight="1">
      <c r="B165" s="263"/>
      <c r="C165" s="87" t="s">
        <v>200</v>
      </c>
      <c r="D165" s="112">
        <v>4934</v>
      </c>
      <c r="E165" s="112">
        <v>52479</v>
      </c>
      <c r="F165" s="112">
        <v>28001</v>
      </c>
      <c r="G165" s="112">
        <v>52511</v>
      </c>
      <c r="H165" s="112">
        <v>21538</v>
      </c>
      <c r="I165" s="117">
        <v>159463</v>
      </c>
      <c r="AF165" s="157" t="s">
        <v>207</v>
      </c>
      <c r="AG165" s="158">
        <v>4988</v>
      </c>
      <c r="AH165" s="158">
        <v>55605</v>
      </c>
      <c r="AI165" s="158">
        <v>29393</v>
      </c>
      <c r="AJ165" s="158">
        <v>55525</v>
      </c>
      <c r="AK165" s="158">
        <v>22096</v>
      </c>
      <c r="AL165" s="159">
        <v>167607</v>
      </c>
    </row>
    <row r="166" spans="2:38">
      <c r="B166" s="253" t="s">
        <v>118</v>
      </c>
      <c r="C166" s="108" t="s">
        <v>191</v>
      </c>
      <c r="D166" s="111">
        <v>5251</v>
      </c>
      <c r="E166" s="111">
        <v>47416</v>
      </c>
      <c r="F166" s="111">
        <v>24173</v>
      </c>
      <c r="G166" s="111">
        <v>47185</v>
      </c>
      <c r="H166" s="111">
        <v>15005</v>
      </c>
      <c r="I166" s="115">
        <v>139030</v>
      </c>
      <c r="AE166" s="251" t="s">
        <v>118</v>
      </c>
      <c r="AF166" s="108" t="s">
        <v>191</v>
      </c>
      <c r="AG166" s="167">
        <f>+AG176+AG173+AG179</f>
        <v>6211</v>
      </c>
      <c r="AH166" s="167">
        <f t="shared" ref="AH166:AK166" si="69">+AH176+AH173+AH179</f>
        <v>52635</v>
      </c>
      <c r="AI166" s="167">
        <f t="shared" si="69"/>
        <v>27101</v>
      </c>
      <c r="AJ166" s="167">
        <f t="shared" si="69"/>
        <v>51758</v>
      </c>
      <c r="AK166" s="167">
        <f t="shared" si="69"/>
        <v>15399</v>
      </c>
      <c r="AL166" s="167">
        <f t="shared" ref="AL166:AL169" si="70">SUM(AG166:AK166)</f>
        <v>153104</v>
      </c>
    </row>
    <row r="167" spans="2:38">
      <c r="B167" s="263"/>
      <c r="C167" s="87" t="s">
        <v>197</v>
      </c>
      <c r="D167" s="105">
        <v>0</v>
      </c>
      <c r="E167" s="112">
        <v>3647</v>
      </c>
      <c r="F167" s="112">
        <v>450</v>
      </c>
      <c r="G167" s="112">
        <v>2049</v>
      </c>
      <c r="H167" s="112">
        <v>1449</v>
      </c>
      <c r="I167" s="117">
        <v>7595</v>
      </c>
      <c r="AE167" s="251"/>
      <c r="AF167" s="87" t="s">
        <v>197</v>
      </c>
      <c r="AG167" s="167">
        <f>+AG177</f>
        <v>0</v>
      </c>
      <c r="AH167" s="167">
        <f t="shared" ref="AH167:AK167" si="71">+AH177</f>
        <v>3387</v>
      </c>
      <c r="AI167" s="167">
        <f t="shared" si="71"/>
        <v>422</v>
      </c>
      <c r="AJ167" s="167">
        <f t="shared" si="71"/>
        <v>2224</v>
      </c>
      <c r="AK167" s="167">
        <f t="shared" si="71"/>
        <v>1389</v>
      </c>
      <c r="AL167" s="167">
        <f t="shared" si="70"/>
        <v>7422</v>
      </c>
    </row>
    <row r="168" spans="2:38">
      <c r="B168" s="263"/>
      <c r="C168" s="87" t="s">
        <v>200</v>
      </c>
      <c r="D168" s="105"/>
      <c r="E168" s="112"/>
      <c r="F168" s="112"/>
      <c r="G168" s="112"/>
      <c r="H168" s="105"/>
      <c r="I168" s="117">
        <f t="shared" ref="I168" si="72">SUM(D168:H168)</f>
        <v>0</v>
      </c>
      <c r="AE168" s="251"/>
      <c r="AF168" s="87" t="s">
        <v>200</v>
      </c>
      <c r="AL168" s="167">
        <f t="shared" si="70"/>
        <v>0</v>
      </c>
    </row>
    <row r="169" spans="2:38">
      <c r="B169" s="263"/>
      <c r="C169" s="87" t="s">
        <v>195</v>
      </c>
      <c r="D169" s="112">
        <v>3947</v>
      </c>
      <c r="E169" s="112">
        <v>29564</v>
      </c>
      <c r="F169" s="112">
        <v>4939</v>
      </c>
      <c r="G169" s="112">
        <v>26776</v>
      </c>
      <c r="H169" s="112">
        <v>9883</v>
      </c>
      <c r="I169" s="117">
        <v>75109</v>
      </c>
      <c r="AE169" s="251"/>
      <c r="AF169" s="87" t="s">
        <v>195</v>
      </c>
      <c r="AG169" s="167">
        <f>+AG178</f>
        <v>4324</v>
      </c>
      <c r="AH169" s="167">
        <f t="shared" ref="AH169:AK169" si="73">+AH178</f>
        <v>31245</v>
      </c>
      <c r="AI169" s="167">
        <f t="shared" si="73"/>
        <v>5090</v>
      </c>
      <c r="AJ169" s="167">
        <f t="shared" si="73"/>
        <v>28841</v>
      </c>
      <c r="AK169" s="167">
        <f t="shared" si="73"/>
        <v>10630</v>
      </c>
      <c r="AL169" s="167">
        <f t="shared" si="70"/>
        <v>80130</v>
      </c>
    </row>
    <row r="170" spans="2:38" ht="16.5" thickBot="1">
      <c r="B170" s="118" t="s">
        <v>202</v>
      </c>
      <c r="C170" s="119" t="s">
        <v>202</v>
      </c>
      <c r="D170" s="120">
        <f>SUM(D156:D169)</f>
        <v>114991</v>
      </c>
      <c r="E170" s="120">
        <f t="shared" ref="E170:I170" si="74">SUM(E156:E169)</f>
        <v>1092040</v>
      </c>
      <c r="F170" s="120">
        <f t="shared" si="74"/>
        <v>607981</v>
      </c>
      <c r="G170" s="120">
        <f t="shared" si="74"/>
        <v>1036988</v>
      </c>
      <c r="H170" s="120">
        <f t="shared" si="74"/>
        <v>577309</v>
      </c>
      <c r="I170" s="120">
        <f t="shared" si="74"/>
        <v>3429309</v>
      </c>
      <c r="AF170" s="153" t="s">
        <v>208</v>
      </c>
      <c r="AG170" s="165">
        <v>120431</v>
      </c>
      <c r="AH170" s="165">
        <v>1128279</v>
      </c>
      <c r="AI170" s="165">
        <v>614349</v>
      </c>
      <c r="AJ170" s="165">
        <v>1062615</v>
      </c>
      <c r="AK170" s="165">
        <v>589441</v>
      </c>
      <c r="AL170" s="166">
        <v>3515115</v>
      </c>
    </row>
    <row r="173" spans="2:38" ht="16.5" thickBot="1">
      <c r="B173" s="125" t="s">
        <v>164</v>
      </c>
      <c r="AF173" s="171" t="s">
        <v>191</v>
      </c>
      <c r="AG173" s="172">
        <v>0</v>
      </c>
      <c r="AH173" s="172">
        <v>324</v>
      </c>
      <c r="AI173" s="172">
        <v>0</v>
      </c>
      <c r="AJ173" s="172">
        <v>241</v>
      </c>
      <c r="AK173" s="172">
        <v>0</v>
      </c>
      <c r="AL173" s="173">
        <v>565</v>
      </c>
    </row>
    <row r="174" spans="2:38">
      <c r="B174" s="104"/>
      <c r="C174" s="104"/>
      <c r="D174" s="254" t="s">
        <v>146</v>
      </c>
      <c r="E174" s="254"/>
      <c r="F174" s="254"/>
      <c r="G174" s="254"/>
      <c r="H174" s="254"/>
      <c r="I174" s="123"/>
      <c r="AF174" s="168" t="s">
        <v>191</v>
      </c>
      <c r="AG174" s="169">
        <v>14667</v>
      </c>
      <c r="AH174" s="169">
        <v>235514</v>
      </c>
      <c r="AI174" s="169">
        <v>158842</v>
      </c>
      <c r="AJ174" s="169">
        <v>239716</v>
      </c>
      <c r="AK174" s="169">
        <v>144123</v>
      </c>
      <c r="AL174" s="170">
        <v>792862</v>
      </c>
    </row>
    <row r="175" spans="2:38" ht="30.75" thickBot="1">
      <c r="B175" s="107" t="s">
        <v>188</v>
      </c>
      <c r="C175" s="107" t="s">
        <v>189</v>
      </c>
      <c r="D175" s="90" t="s">
        <v>156</v>
      </c>
      <c r="E175" s="90" t="s">
        <v>157</v>
      </c>
      <c r="F175" s="90" t="s">
        <v>158</v>
      </c>
      <c r="G175" s="90" t="s">
        <v>159</v>
      </c>
      <c r="H175" s="90" t="s">
        <v>160</v>
      </c>
      <c r="I175" s="99" t="s">
        <v>161</v>
      </c>
      <c r="AF175" s="171" t="s">
        <v>209</v>
      </c>
      <c r="AG175" s="172">
        <v>0</v>
      </c>
      <c r="AH175" s="172">
        <v>4608</v>
      </c>
      <c r="AI175" s="172">
        <v>5093</v>
      </c>
      <c r="AJ175" s="172">
        <v>6004</v>
      </c>
      <c r="AK175" s="172">
        <v>7637</v>
      </c>
      <c r="AL175" s="173">
        <v>23342</v>
      </c>
    </row>
    <row r="176" spans="2:38" ht="17.25" thickTop="1" thickBot="1">
      <c r="B176" s="106" t="s">
        <v>190</v>
      </c>
      <c r="C176" s="106" t="s">
        <v>191</v>
      </c>
      <c r="D176" s="126">
        <f>(D156-D136)/D136</f>
        <v>0.15333333333333332</v>
      </c>
      <c r="E176" s="126">
        <f t="shared" ref="E176:I176" si="75">(E156-E136)/E136</f>
        <v>-0.2296893063583815</v>
      </c>
      <c r="F176" s="126">
        <f t="shared" si="75"/>
        <v>-0.14599999999999999</v>
      </c>
      <c r="G176" s="126">
        <f t="shared" si="75"/>
        <v>-0.22371212121212122</v>
      </c>
      <c r="H176" s="126">
        <f t="shared" si="75"/>
        <v>-0.24004418262150221</v>
      </c>
      <c r="I176" s="127">
        <f t="shared" si="75"/>
        <v>-0.20745564787783516</v>
      </c>
      <c r="AF176" s="176" t="s">
        <v>191</v>
      </c>
      <c r="AG176" s="177">
        <v>114</v>
      </c>
      <c r="AH176" s="177">
        <v>4403</v>
      </c>
      <c r="AI176" s="177">
        <v>3285</v>
      </c>
      <c r="AJ176" s="177">
        <v>3713</v>
      </c>
      <c r="AK176" s="177">
        <v>292</v>
      </c>
      <c r="AL176" s="178">
        <v>11807</v>
      </c>
    </row>
    <row r="177" spans="2:38">
      <c r="B177" s="106" t="s">
        <v>192</v>
      </c>
      <c r="C177" s="106" t="s">
        <v>193</v>
      </c>
      <c r="D177" s="126">
        <f t="shared" ref="D177:I177" si="76">(D157-D137)/D137</f>
        <v>2.256281407035176E-2</v>
      </c>
      <c r="E177" s="126">
        <f t="shared" si="76"/>
        <v>-0.12126843657817109</v>
      </c>
      <c r="F177" s="126">
        <f t="shared" si="76"/>
        <v>0.50421487603305781</v>
      </c>
      <c r="G177" s="126">
        <f t="shared" si="76"/>
        <v>-7.1672354948805458E-2</v>
      </c>
      <c r="H177" s="126">
        <f t="shared" si="76"/>
        <v>3.1270833333333331E-2</v>
      </c>
      <c r="I177" s="128">
        <f t="shared" si="76"/>
        <v>2.2013592904043312E-3</v>
      </c>
      <c r="AF177" s="168" t="s">
        <v>206</v>
      </c>
      <c r="AG177" s="169">
        <v>0</v>
      </c>
      <c r="AH177" s="169">
        <v>3387</v>
      </c>
      <c r="AI177" s="169">
        <v>422</v>
      </c>
      <c r="AJ177" s="169">
        <v>2224</v>
      </c>
      <c r="AK177" s="169">
        <v>1389</v>
      </c>
      <c r="AL177" s="170">
        <v>7422</v>
      </c>
    </row>
    <row r="178" spans="2:38">
      <c r="B178" s="94" t="s">
        <v>194</v>
      </c>
      <c r="C178" s="94" t="s">
        <v>195</v>
      </c>
      <c r="D178" s="129">
        <f t="shared" ref="D178:I178" si="77">(D158-D138)/D138</f>
        <v>0.36749999999999999</v>
      </c>
      <c r="E178" s="129">
        <f t="shared" si="77"/>
        <v>-0.22345201238390092</v>
      </c>
      <c r="F178" s="129">
        <f t="shared" si="77"/>
        <v>-5.0753424657534248E-2</v>
      </c>
      <c r="G178" s="129">
        <f t="shared" si="77"/>
        <v>-0.23585205992509364</v>
      </c>
      <c r="H178" s="129">
        <f t="shared" si="77"/>
        <v>-0.13656294200848657</v>
      </c>
      <c r="I178" s="128">
        <f t="shared" si="77"/>
        <v>-0.17285877971927815</v>
      </c>
      <c r="AF178" s="179" t="s">
        <v>205</v>
      </c>
      <c r="AG178" s="180">
        <v>4324</v>
      </c>
      <c r="AH178" s="180">
        <v>31245</v>
      </c>
      <c r="AI178" s="180">
        <v>5090</v>
      </c>
      <c r="AJ178" s="180">
        <v>28841</v>
      </c>
      <c r="AK178" s="180">
        <v>10630</v>
      </c>
      <c r="AL178" s="181">
        <v>80130</v>
      </c>
    </row>
    <row r="179" spans="2:38" ht="16.5" thickBot="1">
      <c r="B179" s="255" t="s">
        <v>196</v>
      </c>
      <c r="C179" s="108" t="s">
        <v>191</v>
      </c>
      <c r="D179" s="130">
        <f t="shared" ref="D179:I179" si="78">(D159-D139)/D139</f>
        <v>0.81916666666666671</v>
      </c>
      <c r="E179" s="130">
        <f t="shared" si="78"/>
        <v>-7.784530386740332E-2</v>
      </c>
      <c r="F179" s="130">
        <f t="shared" si="78"/>
        <v>-0.17444444444444446</v>
      </c>
      <c r="G179" s="130">
        <f t="shared" si="78"/>
        <v>-0.15502994011976048</v>
      </c>
      <c r="H179" s="130">
        <f t="shared" si="78"/>
        <v>0.16454545454545455</v>
      </c>
      <c r="I179" s="131">
        <f t="shared" si="78"/>
        <v>-6.7133891213389127E-2</v>
      </c>
      <c r="AF179" s="171" t="s">
        <v>191</v>
      </c>
      <c r="AG179" s="172">
        <v>6097</v>
      </c>
      <c r="AH179" s="172">
        <v>47908</v>
      </c>
      <c r="AI179" s="172">
        <v>23816</v>
      </c>
      <c r="AJ179" s="172">
        <v>47804</v>
      </c>
      <c r="AK179" s="172">
        <v>15107</v>
      </c>
      <c r="AL179" s="173">
        <v>140732</v>
      </c>
    </row>
    <row r="180" spans="2:38">
      <c r="B180" s="256"/>
      <c r="C180" s="106" t="s">
        <v>197</v>
      </c>
      <c r="D180" s="126">
        <f t="shared" ref="D180:I180" si="79">(D160-D140)/D140</f>
        <v>-0.56999999999999995</v>
      </c>
      <c r="E180" s="126">
        <f t="shared" si="79"/>
        <v>-0.65</v>
      </c>
      <c r="F180" s="126">
        <f t="shared" si="79"/>
        <v>-0.81826086956521737</v>
      </c>
      <c r="G180" s="126">
        <f t="shared" si="79"/>
        <v>-0.71831168831168835</v>
      </c>
      <c r="H180" s="126">
        <f t="shared" si="79"/>
        <v>-0.65078947368421047</v>
      </c>
      <c r="I180" s="132">
        <f t="shared" si="79"/>
        <v>-0.68557377049180324</v>
      </c>
    </row>
    <row r="181" spans="2:38">
      <c r="B181" s="87" t="s">
        <v>198</v>
      </c>
      <c r="C181" s="87" t="s">
        <v>191</v>
      </c>
      <c r="D181" s="133">
        <f t="shared" ref="D181:I181" si="80">(D161-D141)/D141</f>
        <v>0.23615384615384616</v>
      </c>
      <c r="E181" s="133">
        <f t="shared" si="80"/>
        <v>-0.16529411764705881</v>
      </c>
      <c r="F181" s="133">
        <f t="shared" si="80"/>
        <v>-0.29365019011406845</v>
      </c>
      <c r="G181" s="133">
        <f t="shared" si="80"/>
        <v>-0.26526802218114603</v>
      </c>
      <c r="H181" s="133">
        <f t="shared" si="80"/>
        <v>-0.31560606060606061</v>
      </c>
      <c r="I181" s="134">
        <f t="shared" si="80"/>
        <v>-0.23421221864951769</v>
      </c>
    </row>
    <row r="182" spans="2:38">
      <c r="B182" s="253" t="s">
        <v>199</v>
      </c>
      <c r="C182" s="108" t="s">
        <v>191</v>
      </c>
      <c r="D182" s="130">
        <f t="shared" ref="D182:J182" si="81">(D162-D142)/D142</f>
        <v>-0.18314606741573033</v>
      </c>
      <c r="E182" s="130">
        <f t="shared" si="81"/>
        <v>-0.19059084699453552</v>
      </c>
      <c r="F182" s="130">
        <f t="shared" si="81"/>
        <v>-0.16896586345381526</v>
      </c>
      <c r="G182" s="130">
        <f t="shared" si="81"/>
        <v>-0.26787549108491993</v>
      </c>
      <c r="H182" s="130">
        <f t="shared" si="81"/>
        <v>-0.13878805284319357</v>
      </c>
      <c r="I182" s="131">
        <f t="shared" si="81"/>
        <v>-0.20252857705951913</v>
      </c>
      <c r="J182" s="131">
        <f t="shared" si="81"/>
        <v>-0.11118412149462446</v>
      </c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</row>
    <row r="183" spans="2:38">
      <c r="B183" s="262"/>
      <c r="C183" s="106" t="s">
        <v>200</v>
      </c>
      <c r="D183" s="126">
        <f t="shared" ref="D183:I183" si="82">(D163-D143)/D143</f>
        <v>1.4453333333333334</v>
      </c>
      <c r="E183" s="126">
        <f t="shared" si="82"/>
        <v>0.37620885357548239</v>
      </c>
      <c r="F183" s="126">
        <f t="shared" si="82"/>
        <v>0.26091514143094841</v>
      </c>
      <c r="G183" s="126">
        <f t="shared" si="82"/>
        <v>0.36532520325203249</v>
      </c>
      <c r="H183" s="126">
        <f t="shared" si="82"/>
        <v>-0.5239408099688474</v>
      </c>
      <c r="I183" s="132">
        <f t="shared" si="82"/>
        <v>0.18281002220107834</v>
      </c>
    </row>
    <row r="184" spans="2:38">
      <c r="B184" s="252" t="s">
        <v>201</v>
      </c>
      <c r="C184" s="87" t="s">
        <v>191</v>
      </c>
      <c r="D184" s="133">
        <f t="shared" ref="D184:I184" si="83">(D164-D144)/D144</f>
        <v>0.58478260869565213</v>
      </c>
      <c r="E184" s="133">
        <f t="shared" si="83"/>
        <v>-0.37015368852459019</v>
      </c>
      <c r="F184" s="133">
        <f t="shared" si="83"/>
        <v>-0.367958833619211</v>
      </c>
      <c r="G184" s="133">
        <f t="shared" si="83"/>
        <v>-0.37717348927875244</v>
      </c>
      <c r="H184" s="133">
        <f t="shared" si="83"/>
        <v>-0.30608163265306121</v>
      </c>
      <c r="I184" s="134">
        <f t="shared" si="83"/>
        <v>-0.3590290921836663</v>
      </c>
    </row>
    <row r="185" spans="2:38">
      <c r="B185" s="263"/>
      <c r="C185" s="87" t="s">
        <v>200</v>
      </c>
      <c r="D185" s="133">
        <f t="shared" ref="D185:I185" si="84">(D165-D145)/D145</f>
        <v>-0.39829268292682929</v>
      </c>
      <c r="E185" s="133">
        <f t="shared" si="84"/>
        <v>-0.42140022050716647</v>
      </c>
      <c r="F185" s="133">
        <f t="shared" si="84"/>
        <v>-0.4477120315581854</v>
      </c>
      <c r="G185" s="133">
        <f t="shared" si="84"/>
        <v>-0.43657725321888413</v>
      </c>
      <c r="H185" s="133">
        <f t="shared" si="84"/>
        <v>-0.60625228519195618</v>
      </c>
      <c r="I185" s="134">
        <f t="shared" si="84"/>
        <v>-0.46398991596638656</v>
      </c>
    </row>
    <row r="186" spans="2:38">
      <c r="B186" s="253" t="s">
        <v>118</v>
      </c>
      <c r="C186" s="108" t="s">
        <v>191</v>
      </c>
      <c r="D186" s="130">
        <f t="shared" ref="D186:I186" si="85">(D166-D146)/D146</f>
        <v>0.54441176470588237</v>
      </c>
      <c r="E186" s="130">
        <f t="shared" si="85"/>
        <v>-0.38099216710182765</v>
      </c>
      <c r="F186" s="130">
        <f t="shared" si="85"/>
        <v>-0.11128676470588235</v>
      </c>
      <c r="G186" s="130">
        <f t="shared" si="85"/>
        <v>-0.34465277777777775</v>
      </c>
      <c r="H186" s="130">
        <f t="shared" si="85"/>
        <v>-0.26446078431372549</v>
      </c>
      <c r="I186" s="131">
        <f t="shared" si="85"/>
        <v>-0.30345691382765533</v>
      </c>
    </row>
    <row r="187" spans="2:38">
      <c r="B187" s="263"/>
      <c r="C187" s="87" t="s">
        <v>197</v>
      </c>
      <c r="D187" s="133" t="e">
        <f t="shared" ref="D187:I187" si="86">(D167-D147)/D147</f>
        <v>#DIV/0!</v>
      </c>
      <c r="E187" s="133">
        <f t="shared" si="86"/>
        <v>-0.63161616161616163</v>
      </c>
      <c r="F187" s="133">
        <f t="shared" si="86"/>
        <v>-0.71875</v>
      </c>
      <c r="G187" s="133">
        <f t="shared" si="86"/>
        <v>-0.71140845070422531</v>
      </c>
      <c r="H187" s="133">
        <f t="shared" si="86"/>
        <v>-0.67068181818181816</v>
      </c>
      <c r="I187" s="134">
        <f t="shared" si="86"/>
        <v>-0.6697826086956522</v>
      </c>
    </row>
    <row r="188" spans="2:38">
      <c r="B188" s="263"/>
      <c r="C188" s="87" t="s">
        <v>200</v>
      </c>
      <c r="D188" s="133" t="e">
        <f t="shared" ref="D188:I188" si="87">(D168-D148)/D148</f>
        <v>#DIV/0!</v>
      </c>
      <c r="E188" s="133">
        <f t="shared" si="87"/>
        <v>-1</v>
      </c>
      <c r="F188" s="133">
        <f t="shared" si="87"/>
        <v>-1</v>
      </c>
      <c r="G188" s="133">
        <f t="shared" si="87"/>
        <v>-1</v>
      </c>
      <c r="H188" s="133" t="e">
        <f t="shared" si="87"/>
        <v>#DIV/0!</v>
      </c>
      <c r="I188" s="134">
        <f t="shared" si="87"/>
        <v>-1</v>
      </c>
    </row>
    <row r="189" spans="2:38">
      <c r="B189" s="263"/>
      <c r="C189" s="87" t="s">
        <v>195</v>
      </c>
      <c r="D189" s="133">
        <f t="shared" ref="D189:I189" si="88">(D169-D149)/D149</f>
        <v>1.1927777777777777</v>
      </c>
      <c r="E189" s="133">
        <f t="shared" si="88"/>
        <v>4.8368794326241138E-2</v>
      </c>
      <c r="F189" s="133">
        <f t="shared" si="88"/>
        <v>-5.0192307692307689E-2</v>
      </c>
      <c r="G189" s="133">
        <f t="shared" si="88"/>
        <v>0.11566666666666667</v>
      </c>
      <c r="H189" s="133">
        <f t="shared" si="88"/>
        <v>-2.1485148514851483E-2</v>
      </c>
      <c r="I189" s="134">
        <f t="shared" si="88"/>
        <v>8.3823953823953828E-2</v>
      </c>
    </row>
    <row r="190" spans="2:38">
      <c r="B190" s="118" t="s">
        <v>202</v>
      </c>
      <c r="C190" s="119" t="s">
        <v>202</v>
      </c>
      <c r="D190" s="135">
        <f t="shared" ref="D190:I190" si="89">(D170-D150)/D150</f>
        <v>0.1306882989183874</v>
      </c>
      <c r="E190" s="135">
        <f t="shared" si="89"/>
        <v>-0.1918596906682454</v>
      </c>
      <c r="F190" s="135">
        <f t="shared" si="89"/>
        <v>-7.404660371611331E-2</v>
      </c>
      <c r="G190" s="135">
        <f t="shared" si="89"/>
        <v>-0.20658913542463658</v>
      </c>
      <c r="H190" s="135">
        <f t="shared" si="89"/>
        <v>-0.1892866170481674</v>
      </c>
      <c r="I190" s="136">
        <f t="shared" si="89"/>
        <v>-0.16939738900864679</v>
      </c>
    </row>
  </sheetData>
  <mergeCells count="31">
    <mergeCell ref="D7:I7"/>
    <mergeCell ref="B9:B14"/>
    <mergeCell ref="B15:B20"/>
    <mergeCell ref="B21:B26"/>
    <mergeCell ref="D82:H82"/>
    <mergeCell ref="D30:I30"/>
    <mergeCell ref="B32:B37"/>
    <mergeCell ref="B38:B43"/>
    <mergeCell ref="B44:B49"/>
    <mergeCell ref="D53:I53"/>
    <mergeCell ref="B55:B60"/>
    <mergeCell ref="B61:B66"/>
    <mergeCell ref="B67:B72"/>
    <mergeCell ref="D98:H98"/>
    <mergeCell ref="D114:H114"/>
    <mergeCell ref="D154:H154"/>
    <mergeCell ref="B159:B160"/>
    <mergeCell ref="B162:B163"/>
    <mergeCell ref="D134:H134"/>
    <mergeCell ref="B139:B140"/>
    <mergeCell ref="B142:B143"/>
    <mergeCell ref="B144:B145"/>
    <mergeCell ref="B146:B149"/>
    <mergeCell ref="AE166:AE169"/>
    <mergeCell ref="B184:B185"/>
    <mergeCell ref="B186:B189"/>
    <mergeCell ref="B164:B165"/>
    <mergeCell ref="B166:B169"/>
    <mergeCell ref="D174:H174"/>
    <mergeCell ref="B179:B180"/>
    <mergeCell ref="B182:B183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809039-00b4-4036-9033-c8e1b250376e">
      <Terms xmlns="http://schemas.microsoft.com/office/infopath/2007/PartnerControls"/>
    </lcf76f155ced4ddcb4097134ff3c332f>
    <TaxCatchAll xmlns="b8c950eb-89e9-4aff-b1e4-2b972a0e6dc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C094F80FEA384591818E04E7F9E572" ma:contentTypeVersion="17" ma:contentTypeDescription="Create a new document." ma:contentTypeScope="" ma:versionID="4df8d4dec6236992a9da498c7ce6c1cb">
  <xsd:schema xmlns:xsd="http://www.w3.org/2001/XMLSchema" xmlns:xs="http://www.w3.org/2001/XMLSchema" xmlns:p="http://schemas.microsoft.com/office/2006/metadata/properties" xmlns:ns2="fe809039-00b4-4036-9033-c8e1b250376e" xmlns:ns3="b8c950eb-89e9-4aff-b1e4-2b972a0e6dc8" targetNamespace="http://schemas.microsoft.com/office/2006/metadata/properties" ma:root="true" ma:fieldsID="28db6d282240c08d3dc42faaf983a12b" ns2:_="" ns3:_="">
    <xsd:import namespace="fe809039-00b4-4036-9033-c8e1b250376e"/>
    <xsd:import namespace="b8c950eb-89e9-4aff-b1e4-2b972a0e6d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809039-00b4-4036-9033-c8e1b25037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950eb-89e9-4aff-b1e4-2b972a0e6dc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855a4e9-acd1-4916-864d-59b95911506f}" ma:internalName="TaxCatchAll" ma:showField="CatchAllData" ma:web="b8c950eb-89e9-4aff-b1e4-2b972a0e6d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CF6437-D70A-46A7-9150-3C668D65D819}"/>
</file>

<file path=customXml/itemProps2.xml><?xml version="1.0" encoding="utf-8"?>
<ds:datastoreItem xmlns:ds="http://schemas.openxmlformats.org/officeDocument/2006/customXml" ds:itemID="{CF9AB5F3-F031-43BA-8F81-66C4881C1A67}"/>
</file>

<file path=customXml/itemProps3.xml><?xml version="1.0" encoding="utf-8"?>
<ds:datastoreItem xmlns:ds="http://schemas.openxmlformats.org/officeDocument/2006/customXml" ds:itemID="{036AB008-9EEA-48B9-AB2E-881C0F0B5806}"/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Lisa Zorn</cp:lastModifiedBy>
  <cp:revision/>
  <dcterms:created xsi:type="dcterms:W3CDTF">2022-05-27T23:45:55Z</dcterms:created>
  <dcterms:modified xsi:type="dcterms:W3CDTF">2025-09-02T20:35:20Z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0x01010024C094F80FEA384591818E04E7F9E572</vt:lpwstr>
  </property>
  <property fmtid="{D5CDD505-2E9C-101B-9397-08002B2CF9AE}" pid="3" name="MediaServiceImageTags">
    <vt:lpwstr/>
  </property>
</Properties>
</file>